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dallexaduke/Desktop/"/>
    </mc:Choice>
  </mc:AlternateContent>
  <xr:revisionPtr revIDLastSave="0" documentId="8_{5759FA4E-868A-5C40-BFB0-D446B3F380FF}" xr6:coauthVersionLast="47" xr6:coauthVersionMax="47" xr10:uidLastSave="{00000000-0000-0000-0000-000000000000}"/>
  <bookViews>
    <workbookView xWindow="-40" yWindow="660" windowWidth="34560" windowHeight="20240" activeTab="1" xr2:uid="{A1C68029-5B7D-F345-8D0F-DCE54473B005}"/>
  </bookViews>
  <sheets>
    <sheet name="sales_dataset" sheetId="1" r:id="rId1"/>
    <sheet name="Moving Average" sheetId="3" r:id="rId2"/>
    <sheet name="ANOVA Testing" sheetId="4" r:id="rId3"/>
    <sheet name="Covariance" sheetId="5" r:id="rId4"/>
    <sheet name="Correlation" sheetId="6" r:id="rId5"/>
    <sheet name="Data Copy" sheetId="2" r:id="rId6"/>
  </sheets>
  <definedNames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sales_dataset!$C$1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5" l="1"/>
  <c r="I4" i="5"/>
  <c r="H3" i="5"/>
  <c r="AF22" i="4"/>
  <c r="V22" i="4"/>
  <c r="L22" i="4"/>
  <c r="H4" i="3"/>
  <c r="H5" i="3"/>
  <c r="H6" i="3"/>
  <c r="H7" i="3"/>
  <c r="H8" i="3"/>
  <c r="H9" i="3"/>
  <c r="H10" i="3"/>
  <c r="H11" i="3"/>
  <c r="H12" i="3"/>
  <c r="H13" i="3"/>
  <c r="G4" i="3"/>
  <c r="G5" i="3"/>
  <c r="G6" i="3"/>
  <c r="G7" i="3"/>
  <c r="G8" i="3"/>
  <c r="G9" i="3"/>
  <c r="G10" i="3"/>
  <c r="G11" i="3"/>
  <c r="G12" i="3"/>
  <c r="G13" i="3"/>
  <c r="F4" i="3"/>
  <c r="F5" i="3"/>
  <c r="F6" i="3"/>
  <c r="F7" i="3"/>
  <c r="F8" i="3"/>
  <c r="F9" i="3"/>
  <c r="F10" i="3"/>
  <c r="F11" i="3"/>
  <c r="F12" i="3"/>
  <c r="F13" i="3"/>
</calcChain>
</file>

<file path=xl/sharedStrings.xml><?xml version="1.0" encoding="utf-8"?>
<sst xmlns="http://schemas.openxmlformats.org/spreadsheetml/2006/main" count="224" uniqueCount="55">
  <si>
    <t>Year</t>
  </si>
  <si>
    <t>Region</t>
  </si>
  <si>
    <t>Product A Sales</t>
  </si>
  <si>
    <t>Product B Sales</t>
  </si>
  <si>
    <t>Product C Sales</t>
  </si>
  <si>
    <t>India</t>
  </si>
  <si>
    <t>USA</t>
  </si>
  <si>
    <t>Canada</t>
  </si>
  <si>
    <t>UK</t>
  </si>
  <si>
    <t>Product A</t>
  </si>
  <si>
    <t>Product B</t>
  </si>
  <si>
    <t>Product C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</si>
  <si>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</si>
  <si>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</si>
  <si>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</si>
  <si>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</si>
  <si>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</si>
  <si>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</si>
  <si>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</si>
  <si>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</si>
  <si>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</si>
  <si>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</si>
  <si>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</si>
  <si>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</si>
  <si>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</si>
  <si>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</si>
  <si>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</si>
  <si>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</si>
  <si>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</si>
  <si>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</si>
  <si>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</si>
  <si>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</si>
  <si>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</si>
  <si>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</si>
  <si>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</si>
  <si>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</si>
  <si>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</si>
  <si>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</si>
  <si>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</si>
  <si>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Predicted Product A Sales</t>
  </si>
  <si>
    <t xml:space="preserve">Product A Moving Average </t>
  </si>
  <si>
    <t xml:space="preserve">Product B Moving Average </t>
  </si>
  <si>
    <t xml:space="preserve">Product C Moving Average </t>
  </si>
  <si>
    <t>SUMMARY OUTPUT Product A</t>
  </si>
  <si>
    <t>SUMMARY OUTPUT Product B</t>
  </si>
  <si>
    <t>Predicted Product B Sales</t>
  </si>
  <si>
    <t>Predicted Product C Sales</t>
  </si>
  <si>
    <t>F-crit =</t>
  </si>
  <si>
    <t xml:space="preserve">P-value </t>
  </si>
  <si>
    <t xml:space="preserve">The Null Hypothosis is rejected for Product A </t>
  </si>
  <si>
    <t>The null Hypothosis is rejected for all three products. You can see the regression summary output for Product A at G2, Product B at Q2 and Prodcut C at AA2.</t>
  </si>
  <si>
    <t>Covariance All Products</t>
  </si>
  <si>
    <t xml:space="preserve">The products each have a negative covariance values indicating a negative relationship </t>
  </si>
  <si>
    <t>Correlation</t>
  </si>
  <si>
    <t xml:space="preserve">The products each have a negative correlation values indicating a negative relationship, they are slightly negative coorelations with Product A and Product B having the hiighest correlation. It is still not a strong correlaion.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</si>
</sst>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.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70" fontId="2" fillId="0" borderId="0" xfId="0" applyNumberFormat="1" applyFont="1"/>
    <xf numFmtId="170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Fill="1" applyBorder="1" applyAlignment="1"/>
    <xf numFmtId="0" fontId="4" fillId="0" borderId="4" xfId="0" applyFont="1" applyFill="1" applyBorder="1" applyAlignment="1">
      <alignment horizontal="centerContinuous"/>
    </xf>
    <xf numFmtId="0" fontId="0" fillId="0" borderId="0" xfId="0" applyBorder="1"/>
    <xf numFmtId="0" fontId="4" fillId="0" borderId="0" xfId="0" applyFont="1" applyFill="1" applyBorder="1" applyAlignment="1">
      <alignment horizontal="centerContinuous"/>
    </xf>
    <xf numFmtId="0" fontId="4" fillId="0" borderId="0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Fill="1" applyBorder="1" applyAlignment="1"/>
    <xf numFmtId="0" fontId="0" fillId="0" borderId="0" xfId="0" applyBorder="1" applyAlignment="1">
      <alignment horizontal="center"/>
    </xf>
    <xf numFmtId="0" fontId="0" fillId="0" borderId="4" xfId="0" applyFill="1" applyBorder="1" applyAlignment="1"/>
    <xf numFmtId="0" fontId="3" fillId="0" borderId="0" xfId="0" applyFont="1" applyAlignment="1">
      <alignment horizontal="center" wrapText="1"/>
    </xf>
    <xf numFmtId="0" fontId="0" fillId="2" borderId="0" xfId="0" applyFill="1" applyBorder="1" applyAlignment="1"/>
    <xf numFmtId="0" fontId="0" fillId="2" borderId="2" xfId="0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/>
    <xf numFmtId="0" fontId="0" fillId="0" borderId="0" xfId="0" applyBorder="1" applyAlignment="1"/>
    <xf numFmtId="170" fontId="0" fillId="0" borderId="0" xfId="0" applyNumberFormat="1" applyBorder="1"/>
    <xf numFmtId="2" fontId="4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Product A Sales</c:v>
          </c:tx>
          <c:spPr>
            <a:ln w="38100">
              <a:noFill/>
            </a:ln>
          </c:spPr>
          <c:xVal>
            <c:numRef>
              <c:f>sales_dataset!$A$2:$A$13</c:f>
              <c:numCache>
                <c:formatCode>General</c:formatCode>
                <c:ptCount val="12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</c:numCache>
            </c:numRef>
          </c:xVal>
          <c:yVal>
            <c:numRef>
              <c:f>sales_dataset!$C$2:$C$13</c:f>
              <c:numCache>
                <c:formatCode>"$"#,##0.00</c:formatCode>
                <c:ptCount val="12"/>
                <c:pt idx="0">
                  <c:v>5674</c:v>
                </c:pt>
                <c:pt idx="1">
                  <c:v>3598</c:v>
                </c:pt>
                <c:pt idx="2">
                  <c:v>8765</c:v>
                </c:pt>
                <c:pt idx="3">
                  <c:v>4539</c:v>
                </c:pt>
                <c:pt idx="4">
                  <c:v>6238</c:v>
                </c:pt>
                <c:pt idx="5">
                  <c:v>8728</c:v>
                </c:pt>
                <c:pt idx="6">
                  <c:v>4589</c:v>
                </c:pt>
                <c:pt idx="7">
                  <c:v>6098</c:v>
                </c:pt>
                <c:pt idx="8">
                  <c:v>7312</c:v>
                </c:pt>
                <c:pt idx="9">
                  <c:v>8361</c:v>
                </c:pt>
                <c:pt idx="10">
                  <c:v>5343</c:v>
                </c:pt>
                <c:pt idx="11">
                  <c:v>8265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7A-B24D-8A62-B02D7498D4C3}"/>
            </c:ext>
          </c:extLst>
        </c:ser>
        <c:ser>
          <c:idx val="1"/>
          <c:order val="1"/>
          <c:tx>
            <c:v>Predicted Product A Sales</c:v>
          </c:tx>
          <c:spPr>
            <a:ln w="38100">
              <a:noFill/>
            </a:ln>
          </c:spPr>
          <c:xVal>
            <c:numRef>
              <c:f>sales_dataset!$A$2:$A$13</c:f>
              <c:numCache>
                <c:formatCode>General</c:formatCode>
                <c:ptCount val="12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</c:numCache>
            </c:numRef>
          </c:xVal>
          <c:yVal>
            <c:numRef>
              <c:f>sales_dataset!$W$26:$W$37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7A-B24D-8A62-B02D7498D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182399"/>
        <c:axId val="1138600447"/>
      </c:scatterChart>
      <c:valAx>
        <c:axId val="1134182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8600447"/>
        <c:crosses val="autoZero"/>
        <c:crossBetween val="midCat"/>
      </c:valAx>
      <c:valAx>
        <c:axId val="11386004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 A Sales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113418239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 Product 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'Moving Average'!$C$2:$C$13</c:f>
              <c:numCache>
                <c:formatCode>"$"#,##0.00</c:formatCode>
                <c:ptCount val="12"/>
                <c:pt idx="0">
                  <c:v>5674</c:v>
                </c:pt>
                <c:pt idx="1">
                  <c:v>3598</c:v>
                </c:pt>
                <c:pt idx="2">
                  <c:v>8765</c:v>
                </c:pt>
                <c:pt idx="3">
                  <c:v>4539</c:v>
                </c:pt>
                <c:pt idx="4">
                  <c:v>6238</c:v>
                </c:pt>
                <c:pt idx="5">
                  <c:v>8728</c:v>
                </c:pt>
                <c:pt idx="6">
                  <c:v>4589</c:v>
                </c:pt>
                <c:pt idx="7">
                  <c:v>6098</c:v>
                </c:pt>
                <c:pt idx="8">
                  <c:v>7312</c:v>
                </c:pt>
                <c:pt idx="9">
                  <c:v>8361</c:v>
                </c:pt>
                <c:pt idx="10">
                  <c:v>5343</c:v>
                </c:pt>
                <c:pt idx="11">
                  <c:v>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01-1A4F-8103-F75A5D888D8D}"/>
            </c:ext>
          </c:extLst>
        </c:ser>
        <c:ser>
          <c:idx val="1"/>
          <c:order val="1"/>
          <c:tx>
            <c:v>Forecast</c:v>
          </c:tx>
          <c:val>
            <c:numRef>
              <c:f>'Moving Average'!$F$2:$F$13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 formatCode="&quot;$&quot;#,##0.00">
                  <c:v>6012.333333333333</c:v>
                </c:pt>
                <c:pt idx="3" formatCode="&quot;$&quot;#,##0.00">
                  <c:v>5634</c:v>
                </c:pt>
                <c:pt idx="4" formatCode="&quot;$&quot;#,##0.00">
                  <c:v>6514</c:v>
                </c:pt>
                <c:pt idx="5" formatCode="&quot;$&quot;#,##0.00">
                  <c:v>6501.666666666667</c:v>
                </c:pt>
                <c:pt idx="6" formatCode="&quot;$&quot;#,##0.00">
                  <c:v>6518.333333333333</c:v>
                </c:pt>
                <c:pt idx="7" formatCode="&quot;$&quot;#,##0.00">
                  <c:v>6471.666666666667</c:v>
                </c:pt>
                <c:pt idx="8" formatCode="&quot;$&quot;#,##0.00">
                  <c:v>5999.666666666667</c:v>
                </c:pt>
                <c:pt idx="9" formatCode="&quot;$&quot;#,##0.00">
                  <c:v>7257</c:v>
                </c:pt>
                <c:pt idx="10" formatCode="&quot;$&quot;#,##0.00">
                  <c:v>7005.333333333333</c:v>
                </c:pt>
                <c:pt idx="11" formatCode="&quot;$&quot;#,##0.00">
                  <c:v>7323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01-1A4F-8103-F75A5D888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009471"/>
        <c:axId val="1419002751"/>
      </c:lineChart>
      <c:catAx>
        <c:axId val="1419009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419002751"/>
        <c:crosses val="autoZero"/>
        <c:auto val="1"/>
        <c:lblAlgn val="ctr"/>
        <c:lblOffset val="100"/>
        <c:noMultiLvlLbl val="0"/>
      </c:catAx>
      <c:valAx>
        <c:axId val="14190027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141900947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 Product 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'Moving Average'!$D$2:$D$13</c:f>
              <c:numCache>
                <c:formatCode>"$"#,##0.00</c:formatCode>
                <c:ptCount val="12"/>
                <c:pt idx="0">
                  <c:v>6721</c:v>
                </c:pt>
                <c:pt idx="1">
                  <c:v>9374</c:v>
                </c:pt>
                <c:pt idx="2">
                  <c:v>9272</c:v>
                </c:pt>
                <c:pt idx="3">
                  <c:v>6473</c:v>
                </c:pt>
                <c:pt idx="4">
                  <c:v>3948</c:v>
                </c:pt>
                <c:pt idx="5">
                  <c:v>7972</c:v>
                </c:pt>
                <c:pt idx="6">
                  <c:v>9224</c:v>
                </c:pt>
                <c:pt idx="7">
                  <c:v>2315</c:v>
                </c:pt>
                <c:pt idx="8">
                  <c:v>8665</c:v>
                </c:pt>
                <c:pt idx="9">
                  <c:v>4629</c:v>
                </c:pt>
                <c:pt idx="10">
                  <c:v>5126</c:v>
                </c:pt>
                <c:pt idx="11">
                  <c:v>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62-1641-BB08-7A9D92E22AD0}"/>
            </c:ext>
          </c:extLst>
        </c:ser>
        <c:ser>
          <c:idx val="1"/>
          <c:order val="1"/>
          <c:tx>
            <c:v>Forecast</c:v>
          </c:tx>
          <c:val>
            <c:numRef>
              <c:f>'Moving Average'!$G$2:$G$13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 formatCode="&quot;$&quot;#,##0.00">
                  <c:v>8455.6666666666661</c:v>
                </c:pt>
                <c:pt idx="3" formatCode="&quot;$&quot;#,##0.00">
                  <c:v>8373</c:v>
                </c:pt>
                <c:pt idx="4" formatCode="&quot;$&quot;#,##0.00">
                  <c:v>6564.333333333333</c:v>
                </c:pt>
                <c:pt idx="5" formatCode="&quot;$&quot;#,##0.00">
                  <c:v>6131</c:v>
                </c:pt>
                <c:pt idx="6" formatCode="&quot;$&quot;#,##0.00">
                  <c:v>7048</c:v>
                </c:pt>
                <c:pt idx="7" formatCode="&quot;$&quot;#,##0.00">
                  <c:v>6503.666666666667</c:v>
                </c:pt>
                <c:pt idx="8" formatCode="&quot;$&quot;#,##0.00">
                  <c:v>6734.666666666667</c:v>
                </c:pt>
                <c:pt idx="9" formatCode="&quot;$&quot;#,##0.00">
                  <c:v>5203</c:v>
                </c:pt>
                <c:pt idx="10" formatCode="&quot;$&quot;#,##0.00">
                  <c:v>6140</c:v>
                </c:pt>
                <c:pt idx="11" formatCode="&quot;$&quot;#,##0.00">
                  <c:v>4365.333333333333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62-1641-BB08-7A9D92E22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092159"/>
        <c:axId val="1134095295"/>
      </c:lineChart>
      <c:catAx>
        <c:axId val="1134092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134095295"/>
        <c:crosses val="autoZero"/>
        <c:auto val="1"/>
        <c:lblAlgn val="ctr"/>
        <c:lblOffset val="100"/>
        <c:noMultiLvlLbl val="0"/>
      </c:catAx>
      <c:valAx>
        <c:axId val="11340952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113409215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 Product C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'Moving Average'!$E$2:$E$13</c:f>
              <c:numCache>
                <c:formatCode>"$"#,##0.00</c:formatCode>
                <c:ptCount val="12"/>
                <c:pt idx="0">
                  <c:v>3947</c:v>
                </c:pt>
                <c:pt idx="1">
                  <c:v>7272</c:v>
                </c:pt>
                <c:pt idx="2">
                  <c:v>5100</c:v>
                </c:pt>
                <c:pt idx="3">
                  <c:v>4545</c:v>
                </c:pt>
                <c:pt idx="4">
                  <c:v>6512</c:v>
                </c:pt>
                <c:pt idx="5">
                  <c:v>5623</c:v>
                </c:pt>
                <c:pt idx="6">
                  <c:v>8639</c:v>
                </c:pt>
                <c:pt idx="7">
                  <c:v>5000</c:v>
                </c:pt>
                <c:pt idx="8">
                  <c:v>5041</c:v>
                </c:pt>
                <c:pt idx="9">
                  <c:v>7371</c:v>
                </c:pt>
                <c:pt idx="10">
                  <c:v>6777</c:v>
                </c:pt>
                <c:pt idx="11">
                  <c:v>7609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E-7948-95DB-CED6AEBC699D}"/>
            </c:ext>
          </c:extLst>
        </c:ser>
        <c:ser>
          <c:idx val="1"/>
          <c:order val="1"/>
          <c:tx>
            <c:v>Forecast</c:v>
          </c:tx>
          <c:val>
            <c:numRef>
              <c:f>'Moving Average'!$H$2:$H$13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 formatCode="&quot;$&quot;#,##0.00">
                  <c:v>5439.666666666667</c:v>
                </c:pt>
                <c:pt idx="3" formatCode="&quot;$&quot;#,##0.00">
                  <c:v>5639</c:v>
                </c:pt>
                <c:pt idx="4" formatCode="&quot;$&quot;#,##0.00">
                  <c:v>5385.666666666667</c:v>
                </c:pt>
                <c:pt idx="5" formatCode="&quot;$&quot;#,##0.00">
                  <c:v>5560</c:v>
                </c:pt>
                <c:pt idx="6" formatCode="&quot;$&quot;#,##0.00">
                  <c:v>6924.666666666667</c:v>
                </c:pt>
                <c:pt idx="7" formatCode="&quot;$&quot;#,##0.00">
                  <c:v>6420.666666666667</c:v>
                </c:pt>
                <c:pt idx="8" formatCode="&quot;$&quot;#,##0.00">
                  <c:v>6226.666666666667</c:v>
                </c:pt>
                <c:pt idx="9" formatCode="&quot;$&quot;#,##0.00">
                  <c:v>5804</c:v>
                </c:pt>
                <c:pt idx="10" formatCode="&quot;$&quot;#,##0.00">
                  <c:v>6396.333333333333</c:v>
                </c:pt>
                <c:pt idx="11" formatCode="&quot;$&quot;#,##0.00">
                  <c:v>7252.333333333333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E-7948-95DB-CED6AEBC6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087231"/>
        <c:axId val="1134099775"/>
      </c:lineChart>
      <c:catAx>
        <c:axId val="113408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134099775"/>
        <c:crosses val="autoZero"/>
        <c:auto val="1"/>
        <c:lblAlgn val="ctr"/>
        <c:lblOffset val="100"/>
        <c:noMultiLvlLbl val="0"/>
      </c:catAx>
      <c:valAx>
        <c:axId val="1134099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11340872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 A</a:t>
            </a:r>
            <a:r>
              <a:rPr lang="en-US" baseline="0"/>
              <a:t> </a:t>
            </a:r>
            <a:r>
              <a:rPr lang="en-US"/>
              <a:t>Year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Product A Sales</c:v>
          </c:tx>
          <c:spPr>
            <a:ln w="38100">
              <a:noFill/>
            </a:ln>
          </c:spPr>
          <c:dPt>
            <c:idx val="1"/>
            <c:bubble3D val="0"/>
            <c:spPr>
              <a:ln w="38100"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8FE-CD43-ADA3-5B639BDF4B78}"/>
              </c:ext>
            </c:extLst>
          </c:dPt>
          <c:xVal>
            <c:numRef>
              <c:f>'ANOVA Testing'!$A$2:$A$13</c:f>
              <c:numCache>
                <c:formatCode>General</c:formatCode>
                <c:ptCount val="12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</c:numCache>
            </c:numRef>
          </c:xVal>
          <c:yVal>
            <c:numRef>
              <c:f>'ANOVA Testing'!$C$2:$C$13</c:f>
              <c:numCache>
                <c:formatCode>"$"#,##0.00</c:formatCode>
                <c:ptCount val="12"/>
                <c:pt idx="0">
                  <c:v>5674</c:v>
                </c:pt>
                <c:pt idx="1">
                  <c:v>3598</c:v>
                </c:pt>
                <c:pt idx="2">
                  <c:v>8765</c:v>
                </c:pt>
                <c:pt idx="3">
                  <c:v>4539</c:v>
                </c:pt>
                <c:pt idx="4">
                  <c:v>6238</c:v>
                </c:pt>
                <c:pt idx="5">
                  <c:v>8728</c:v>
                </c:pt>
                <c:pt idx="6">
                  <c:v>4589</c:v>
                </c:pt>
                <c:pt idx="7">
                  <c:v>6098</c:v>
                </c:pt>
                <c:pt idx="8">
                  <c:v>7312</c:v>
                </c:pt>
                <c:pt idx="9">
                  <c:v>8361</c:v>
                </c:pt>
                <c:pt idx="10">
                  <c:v>5343</c:v>
                </c:pt>
                <c:pt idx="11">
                  <c:v>8265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FE-CD43-ADA3-5B639BDF4B78}"/>
            </c:ext>
          </c:extLst>
        </c:ser>
        <c:ser>
          <c:idx val="1"/>
          <c:order val="1"/>
          <c:tx>
            <c:v>Predicted Product A Sales</c:v>
          </c:tx>
          <c:spPr>
            <a:ln w="38100">
              <a:noFill/>
            </a:ln>
          </c:spPr>
          <c:xVal>
            <c:numRef>
              <c:f>'ANOVA Testing'!$A$2:$A$13</c:f>
              <c:numCache>
                <c:formatCode>General</c:formatCode>
                <c:ptCount val="12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</c:numCache>
            </c:numRef>
          </c:xVal>
          <c:yVal>
            <c:numRef>
              <c:f>'ANOVA Testing'!$H$26:$H$37</c:f>
              <c:numCache>
                <c:formatCode>General</c:formatCode>
                <c:ptCount val="12"/>
                <c:pt idx="0">
                  <c:v>5621.0416666667406</c:v>
                </c:pt>
                <c:pt idx="1">
                  <c:v>5621.0416666667406</c:v>
                </c:pt>
                <c:pt idx="2">
                  <c:v>5621.0416666667406</c:v>
                </c:pt>
                <c:pt idx="3">
                  <c:v>5621.0416666667406</c:v>
                </c:pt>
                <c:pt idx="4">
                  <c:v>6459.1666666667406</c:v>
                </c:pt>
                <c:pt idx="5">
                  <c:v>6459.1666666667406</c:v>
                </c:pt>
                <c:pt idx="6">
                  <c:v>6459.1666666667406</c:v>
                </c:pt>
                <c:pt idx="7">
                  <c:v>6459.1666666667406</c:v>
                </c:pt>
                <c:pt idx="8">
                  <c:v>7297.2916666667415</c:v>
                </c:pt>
                <c:pt idx="9">
                  <c:v>7297.2916666667415</c:v>
                </c:pt>
                <c:pt idx="10">
                  <c:v>7297.2916666667415</c:v>
                </c:pt>
                <c:pt idx="11">
                  <c:v>7297.2916666667415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FE-CD43-ADA3-5B639BDF4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628031"/>
        <c:axId val="1419625791"/>
      </c:scatterChart>
      <c:valAx>
        <c:axId val="1419628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9625791"/>
        <c:crosses val="autoZero"/>
        <c:crossBetween val="midCat"/>
      </c:valAx>
      <c:valAx>
        <c:axId val="14196257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 A Sales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14196280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</a:t>
            </a:r>
            <a:r>
              <a:rPr lang="en-US" baseline="0"/>
              <a:t> B </a:t>
            </a:r>
            <a:r>
              <a:rPr lang="en-US"/>
              <a:t>Year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Product B Sales</c:v>
          </c:tx>
          <c:spPr>
            <a:ln w="38100">
              <a:noFill/>
            </a:ln>
          </c:spPr>
          <c:xVal>
            <c:numRef>
              <c:f>'ANOVA Testing'!$A$2:$A$13</c:f>
              <c:numCache>
                <c:formatCode>General</c:formatCode>
                <c:ptCount val="12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</c:numCache>
            </c:numRef>
          </c:xVal>
          <c:yVal>
            <c:numRef>
              <c:f>'ANOVA Testing'!$D$2:$D$13</c:f>
              <c:numCache>
                <c:formatCode>"$"#,##0.00</c:formatCode>
                <c:ptCount val="12"/>
                <c:pt idx="0">
                  <c:v>6721</c:v>
                </c:pt>
                <c:pt idx="1">
                  <c:v>9374</c:v>
                </c:pt>
                <c:pt idx="2">
                  <c:v>9272</c:v>
                </c:pt>
                <c:pt idx="3">
                  <c:v>6473</c:v>
                </c:pt>
                <c:pt idx="4">
                  <c:v>3948</c:v>
                </c:pt>
                <c:pt idx="5">
                  <c:v>7972</c:v>
                </c:pt>
                <c:pt idx="6">
                  <c:v>9224</c:v>
                </c:pt>
                <c:pt idx="7">
                  <c:v>2315</c:v>
                </c:pt>
                <c:pt idx="8">
                  <c:v>8665</c:v>
                </c:pt>
                <c:pt idx="9">
                  <c:v>4629</c:v>
                </c:pt>
                <c:pt idx="10">
                  <c:v>5126</c:v>
                </c:pt>
                <c:pt idx="11">
                  <c:v>3341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4A-1C44-83A4-9EE78D294EAA}"/>
            </c:ext>
          </c:extLst>
        </c:ser>
        <c:ser>
          <c:idx val="1"/>
          <c:order val="1"/>
          <c:tx>
            <c:v>Predicted Product B Sales</c:v>
          </c:tx>
          <c:spPr>
            <a:ln w="38100">
              <a:noFill/>
            </a:ln>
          </c:spPr>
          <c:xVal>
            <c:numRef>
              <c:f>'ANOVA Testing'!$A$2:$A$13</c:f>
              <c:numCache>
                <c:formatCode>General</c:formatCode>
                <c:ptCount val="12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</c:numCache>
            </c:numRef>
          </c:xVal>
          <c:yVal>
            <c:numRef>
              <c:f>'ANOVA Testing'!$R$26:$R$37</c:f>
              <c:numCache>
                <c:formatCode>General</c:formatCode>
                <c:ptCount val="12"/>
                <c:pt idx="0">
                  <c:v>7681.5416666665178</c:v>
                </c:pt>
                <c:pt idx="1">
                  <c:v>7681.5416666665178</c:v>
                </c:pt>
                <c:pt idx="2">
                  <c:v>7681.5416666665178</c:v>
                </c:pt>
                <c:pt idx="3">
                  <c:v>7681.5416666665178</c:v>
                </c:pt>
                <c:pt idx="4">
                  <c:v>6421.6666666665178</c:v>
                </c:pt>
                <c:pt idx="5">
                  <c:v>6421.6666666665178</c:v>
                </c:pt>
                <c:pt idx="6">
                  <c:v>6421.6666666665178</c:v>
                </c:pt>
                <c:pt idx="7">
                  <c:v>6421.6666666665178</c:v>
                </c:pt>
                <c:pt idx="8">
                  <c:v>5161.7916666665178</c:v>
                </c:pt>
                <c:pt idx="9">
                  <c:v>5161.7916666665178</c:v>
                </c:pt>
                <c:pt idx="10">
                  <c:v>5161.7916666665178</c:v>
                </c:pt>
                <c:pt idx="11">
                  <c:v>5161.7916666665178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4A-1C44-83A4-9EE78D294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787903"/>
        <c:axId val="1421828863"/>
      </c:scatterChart>
      <c:valAx>
        <c:axId val="1422787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1828863"/>
        <c:crosses val="autoZero"/>
        <c:crossBetween val="midCat"/>
      </c:valAx>
      <c:valAx>
        <c:axId val="14218288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 B Sales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14227879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 C Year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Product C Sales</c:v>
          </c:tx>
          <c:spPr>
            <a:ln w="38100">
              <a:noFill/>
            </a:ln>
          </c:spPr>
          <c:xVal>
            <c:numRef>
              <c:f>'ANOVA Testing'!$A$2:$A$13</c:f>
              <c:numCache>
                <c:formatCode>General</c:formatCode>
                <c:ptCount val="12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</c:numCache>
            </c:numRef>
          </c:xVal>
          <c:yVal>
            <c:numRef>
              <c:f>'ANOVA Testing'!$E$2:$E$13</c:f>
              <c:numCache>
                <c:formatCode>"$"#,##0.00</c:formatCode>
                <c:ptCount val="12"/>
                <c:pt idx="0">
                  <c:v>3947</c:v>
                </c:pt>
                <c:pt idx="1">
                  <c:v>7272</c:v>
                </c:pt>
                <c:pt idx="2">
                  <c:v>5100</c:v>
                </c:pt>
                <c:pt idx="3">
                  <c:v>4545</c:v>
                </c:pt>
                <c:pt idx="4">
                  <c:v>6512</c:v>
                </c:pt>
                <c:pt idx="5">
                  <c:v>5623</c:v>
                </c:pt>
                <c:pt idx="6">
                  <c:v>8639</c:v>
                </c:pt>
                <c:pt idx="7">
                  <c:v>5000</c:v>
                </c:pt>
                <c:pt idx="8">
                  <c:v>5041</c:v>
                </c:pt>
                <c:pt idx="9">
                  <c:v>7371</c:v>
                </c:pt>
                <c:pt idx="10">
                  <c:v>6777</c:v>
                </c:pt>
                <c:pt idx="11">
                  <c:v>7609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B-4F49-AA34-2B17A14E5039}"/>
            </c:ext>
          </c:extLst>
        </c:ser>
        <c:ser>
          <c:idx val="1"/>
          <c:order val="1"/>
          <c:tx>
            <c:v>Predicted Product C Sales</c:v>
          </c:tx>
          <c:spPr>
            <a:ln w="38100">
              <a:noFill/>
            </a:ln>
          </c:spPr>
          <c:xVal>
            <c:numRef>
              <c:f>'ANOVA Testing'!$A$2:$A$13</c:f>
              <c:numCache>
                <c:formatCode>General</c:formatCode>
                <c:ptCount val="12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</c:numCache>
            </c:numRef>
          </c:xVal>
          <c:yVal>
            <c:numRef>
              <c:f>'ANOVA Testing'!$AB$26:$AB$37</c:f>
              <c:numCache>
                <c:formatCode>General</c:formatCode>
                <c:ptCount val="12"/>
                <c:pt idx="0">
                  <c:v>5377.9166666667379</c:v>
                </c:pt>
                <c:pt idx="1">
                  <c:v>5377.9166666667379</c:v>
                </c:pt>
                <c:pt idx="2">
                  <c:v>5377.9166666667379</c:v>
                </c:pt>
                <c:pt idx="3">
                  <c:v>5377.9166666667379</c:v>
                </c:pt>
                <c:pt idx="4">
                  <c:v>6119.6666666667379</c:v>
                </c:pt>
                <c:pt idx="5">
                  <c:v>6119.6666666667379</c:v>
                </c:pt>
                <c:pt idx="6">
                  <c:v>6119.6666666667379</c:v>
                </c:pt>
                <c:pt idx="7">
                  <c:v>6119.6666666667379</c:v>
                </c:pt>
                <c:pt idx="8">
                  <c:v>6861.4166666667379</c:v>
                </c:pt>
                <c:pt idx="9">
                  <c:v>6861.4166666667379</c:v>
                </c:pt>
                <c:pt idx="10">
                  <c:v>6861.4166666667379</c:v>
                </c:pt>
                <c:pt idx="11">
                  <c:v>6861.4166666667379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AB-4F49-AA34-2B17A14E5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828095"/>
        <c:axId val="1134186431"/>
      </c:scatterChart>
      <c:valAx>
        <c:axId val="1404828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4186431"/>
        <c:crosses val="autoZero"/>
        <c:crossBetween val="midCat"/>
      </c:valAx>
      <c:valAx>
        <c:axId val="1134186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 C Sales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14048280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</a:t>
            </a:r>
            <a:r>
              <a:rPr lang="en-US" baseline="0"/>
              <a:t>l Product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Covariance!$C$1</c:f>
              <c:strCache>
                <c:ptCount val="1"/>
                <c:pt idx="0">
                  <c:v>Product A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Covariance!$C$2:$C$13</c:f>
              <c:numCache>
                <c:formatCode>"$"#,##0.00</c:formatCode>
                <c:ptCount val="12"/>
                <c:pt idx="0">
                  <c:v>5674</c:v>
                </c:pt>
                <c:pt idx="1">
                  <c:v>3598</c:v>
                </c:pt>
                <c:pt idx="2">
                  <c:v>8765</c:v>
                </c:pt>
                <c:pt idx="3">
                  <c:v>4539</c:v>
                </c:pt>
                <c:pt idx="4">
                  <c:v>6238</c:v>
                </c:pt>
                <c:pt idx="5">
                  <c:v>8728</c:v>
                </c:pt>
                <c:pt idx="6">
                  <c:v>4589</c:v>
                </c:pt>
                <c:pt idx="7">
                  <c:v>6098</c:v>
                </c:pt>
                <c:pt idx="8">
                  <c:v>7312</c:v>
                </c:pt>
                <c:pt idx="9">
                  <c:v>8361</c:v>
                </c:pt>
                <c:pt idx="10">
                  <c:v>5343</c:v>
                </c:pt>
                <c:pt idx="11">
                  <c:v>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3-6443-A65B-5A7C52BE306F}"/>
            </c:ext>
          </c:extLst>
        </c:ser>
        <c:ser>
          <c:idx val="1"/>
          <c:order val="1"/>
          <c:tx>
            <c:strRef>
              <c:f>Covariance!$D$1</c:f>
              <c:strCache>
                <c:ptCount val="1"/>
                <c:pt idx="0">
                  <c:v>Product B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Covariance!$D$2:$D$13</c:f>
              <c:numCache>
                <c:formatCode>"$"#,##0.00</c:formatCode>
                <c:ptCount val="12"/>
                <c:pt idx="0">
                  <c:v>6721</c:v>
                </c:pt>
                <c:pt idx="1">
                  <c:v>9374</c:v>
                </c:pt>
                <c:pt idx="2">
                  <c:v>9272</c:v>
                </c:pt>
                <c:pt idx="3">
                  <c:v>6473</c:v>
                </c:pt>
                <c:pt idx="4">
                  <c:v>3948</c:v>
                </c:pt>
                <c:pt idx="5">
                  <c:v>7972</c:v>
                </c:pt>
                <c:pt idx="6">
                  <c:v>9224</c:v>
                </c:pt>
                <c:pt idx="7">
                  <c:v>2315</c:v>
                </c:pt>
                <c:pt idx="8">
                  <c:v>8665</c:v>
                </c:pt>
                <c:pt idx="9">
                  <c:v>4629</c:v>
                </c:pt>
                <c:pt idx="10">
                  <c:v>5126</c:v>
                </c:pt>
                <c:pt idx="11">
                  <c:v>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43-6443-A65B-5A7C52BE306F}"/>
            </c:ext>
          </c:extLst>
        </c:ser>
        <c:ser>
          <c:idx val="2"/>
          <c:order val="2"/>
          <c:tx>
            <c:strRef>
              <c:f>Covariance!$E$1</c:f>
              <c:strCache>
                <c:ptCount val="1"/>
                <c:pt idx="0">
                  <c:v>Product C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Covariance!$E$2:$E$13</c:f>
              <c:numCache>
                <c:formatCode>"$"#,##0.00</c:formatCode>
                <c:ptCount val="12"/>
                <c:pt idx="0">
                  <c:v>3947</c:v>
                </c:pt>
                <c:pt idx="1">
                  <c:v>7272</c:v>
                </c:pt>
                <c:pt idx="2">
                  <c:v>5100</c:v>
                </c:pt>
                <c:pt idx="3">
                  <c:v>4545</c:v>
                </c:pt>
                <c:pt idx="4">
                  <c:v>6512</c:v>
                </c:pt>
                <c:pt idx="5">
                  <c:v>5623</c:v>
                </c:pt>
                <c:pt idx="6">
                  <c:v>8639</c:v>
                </c:pt>
                <c:pt idx="7">
                  <c:v>5000</c:v>
                </c:pt>
                <c:pt idx="8">
                  <c:v>5041</c:v>
                </c:pt>
                <c:pt idx="9">
                  <c:v>7371</c:v>
                </c:pt>
                <c:pt idx="10">
                  <c:v>6777</c:v>
                </c:pt>
                <c:pt idx="11">
                  <c:v>7609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43-6443-A65B-5A7C52BE3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601983"/>
        <c:axId val="1442599743"/>
      </c:lineChart>
      <c:catAx>
        <c:axId val="1442601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99743"/>
        <c:crosses val="autoZero"/>
        <c:auto val="1"/>
        <c:lblAlgn val="ctr"/>
        <c:lblOffset val="100"/>
        <c:noMultiLvlLbl val="0"/>
      </c:catAx>
      <c:valAx>
        <c:axId val="144259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0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Correlation!$C$1</c:f>
              <c:strCache>
                <c:ptCount val="1"/>
                <c:pt idx="0">
                  <c:v>Product A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Correlation!$C$2:$C$13</c:f>
              <c:numCache>
                <c:formatCode>"$"#,##0.00</c:formatCode>
                <c:ptCount val="12"/>
                <c:pt idx="0">
                  <c:v>5674</c:v>
                </c:pt>
                <c:pt idx="1">
                  <c:v>3598</c:v>
                </c:pt>
                <c:pt idx="2">
                  <c:v>8765</c:v>
                </c:pt>
                <c:pt idx="3">
                  <c:v>4539</c:v>
                </c:pt>
                <c:pt idx="4">
                  <c:v>6238</c:v>
                </c:pt>
                <c:pt idx="5">
                  <c:v>8728</c:v>
                </c:pt>
                <c:pt idx="6">
                  <c:v>4589</c:v>
                </c:pt>
                <c:pt idx="7">
                  <c:v>6098</c:v>
                </c:pt>
                <c:pt idx="8">
                  <c:v>7312</c:v>
                </c:pt>
                <c:pt idx="9">
                  <c:v>8361</c:v>
                </c:pt>
                <c:pt idx="10">
                  <c:v>5343</c:v>
                </c:pt>
                <c:pt idx="11">
                  <c:v>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C-1443-B7A4-7396E9C1BF2D}"/>
            </c:ext>
          </c:extLst>
        </c:ser>
        <c:ser>
          <c:idx val="1"/>
          <c:order val="1"/>
          <c:tx>
            <c:strRef>
              <c:f>Correlation!$D$1</c:f>
              <c:strCache>
                <c:ptCount val="1"/>
                <c:pt idx="0">
                  <c:v>Product B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Correlation!$D$2:$D$13</c:f>
              <c:numCache>
                <c:formatCode>"$"#,##0.00</c:formatCode>
                <c:ptCount val="12"/>
                <c:pt idx="0">
                  <c:v>6721</c:v>
                </c:pt>
                <c:pt idx="1">
                  <c:v>9374</c:v>
                </c:pt>
                <c:pt idx="2">
                  <c:v>9272</c:v>
                </c:pt>
                <c:pt idx="3">
                  <c:v>6473</c:v>
                </c:pt>
                <c:pt idx="4">
                  <c:v>3948</c:v>
                </c:pt>
                <c:pt idx="5">
                  <c:v>7972</c:v>
                </c:pt>
                <c:pt idx="6">
                  <c:v>9224</c:v>
                </c:pt>
                <c:pt idx="7">
                  <c:v>2315</c:v>
                </c:pt>
                <c:pt idx="8">
                  <c:v>8665</c:v>
                </c:pt>
                <c:pt idx="9">
                  <c:v>4629</c:v>
                </c:pt>
                <c:pt idx="10">
                  <c:v>5126</c:v>
                </c:pt>
                <c:pt idx="11">
                  <c:v>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2C-1443-B7A4-7396E9C1BF2D}"/>
            </c:ext>
          </c:extLst>
        </c:ser>
        <c:ser>
          <c:idx val="2"/>
          <c:order val="2"/>
          <c:tx>
            <c:strRef>
              <c:f>Correlation!$E$1</c:f>
              <c:strCache>
                <c:ptCount val="1"/>
                <c:pt idx="0">
                  <c:v>Product C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Correlation!$E$2:$E$13</c:f>
              <c:numCache>
                <c:formatCode>"$"#,##0.00</c:formatCode>
                <c:ptCount val="12"/>
                <c:pt idx="0">
                  <c:v>3947</c:v>
                </c:pt>
                <c:pt idx="1">
                  <c:v>7272</c:v>
                </c:pt>
                <c:pt idx="2">
                  <c:v>5100</c:v>
                </c:pt>
                <c:pt idx="3">
                  <c:v>4545</c:v>
                </c:pt>
                <c:pt idx="4">
                  <c:v>6512</c:v>
                </c:pt>
                <c:pt idx="5">
                  <c:v>5623</c:v>
                </c:pt>
                <c:pt idx="6">
                  <c:v>8639</c:v>
                </c:pt>
                <c:pt idx="7">
                  <c:v>5000</c:v>
                </c:pt>
                <c:pt idx="8">
                  <c:v>5041</c:v>
                </c:pt>
                <c:pt idx="9">
                  <c:v>7371</c:v>
                </c:pt>
                <c:pt idx="10">
                  <c:v>6777</c:v>
                </c:pt>
                <c:pt idx="11">
                  <c:v>7609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2C-1443-B7A4-7396E9C1B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595071"/>
        <c:axId val="1138592383"/>
      </c:lineChart>
      <c:catAx>
        <c:axId val="1138595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592383"/>
        <c:crosses val="autoZero"/>
        <c:auto val="1"/>
        <c:lblAlgn val="ctr"/>
        <c:lblOffset val="100"/>
        <c:noMultiLvlLbl val="0"/>
      </c:catAx>
      <c:valAx>
        <c:axId val="113859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59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203200</xdr:colOff>
      <xdr:row>1</xdr:row>
      <xdr:rowOff>165100</xdr:rowOff>
    </xdr:from>
    <xdr:to>
      <xdr:col>37</xdr:col>
      <xdr:colOff>203200</xdr:colOff>
      <xdr:row>11</xdr:row>
      <xdr:rowOff>165100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DC2C927-9B09-444F-724F-1D96C1E33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14</xdr:row>
      <xdr:rowOff>12700</xdr:rowOff>
    </xdr:from>
    <xdr:to>
      <xdr:col>6</xdr:col>
      <xdr:colOff>76200</xdr:colOff>
      <xdr:row>24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5DDEF-81E5-4DCB-E43B-54A24A61D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812800</xdr:colOff>
      <xdr:row>25</xdr:row>
      <xdr:rowOff>12700</xdr:rowOff>
    </xdr:from>
    <xdr:to>
      <xdr:col>6</xdr:col>
      <xdr:colOff>76200</xdr:colOff>
      <xdr:row>35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13AA95-5C1A-9E25-B93F-C1D185EB7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330200</xdr:colOff>
      <xdr:row>14</xdr:row>
      <xdr:rowOff>12700</xdr:rowOff>
    </xdr:from>
    <xdr:to>
      <xdr:col>11</xdr:col>
      <xdr:colOff>266700</xdr:colOff>
      <xdr:row>24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7F6171-477A-6FC0-5DA8-A4E59A307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76200</xdr:rowOff>
    </xdr:from>
    <xdr:to>
      <xdr:col>15</xdr:col>
      <xdr:colOff>0</xdr:colOff>
      <xdr:row>10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6215A-5BD9-9AA1-06C5-30F62F360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25400</xdr:colOff>
      <xdr:row>0</xdr:row>
      <xdr:rowOff>63500</xdr:rowOff>
    </xdr:from>
    <xdr:to>
      <xdr:col>25</xdr:col>
      <xdr:colOff>25400</xdr:colOff>
      <xdr:row>10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6B33CF-8460-1BC2-03F6-88D7D631E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12700</xdr:colOff>
      <xdr:row>0</xdr:row>
      <xdr:rowOff>76200</xdr:rowOff>
    </xdr:from>
    <xdr:to>
      <xdr:col>35</xdr:col>
      <xdr:colOff>12700</xdr:colOff>
      <xdr:row>10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182187-806E-0F7F-3AB9-B614EEB2F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6</xdr:row>
      <xdr:rowOff>0</xdr:rowOff>
    </xdr:from>
    <xdr:to>
      <xdr:col>11</xdr:col>
      <xdr:colOff>787400</xdr:colOff>
      <xdr:row>19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DFB0C8-0821-1B9E-E7BB-7487C5502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7</xdr:row>
      <xdr:rowOff>0</xdr:rowOff>
    </xdr:from>
    <xdr:to>
      <xdr:col>12</xdr:col>
      <xdr:colOff>12700</xdr:colOff>
      <xdr:row>21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EBAD54-7023-4AAF-AA3A-B84B9A7D6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6155-1070-4849-8533-5407335BCC67}">
  <dimension ref="A1:AM50"/>
  <sheetViews>
    <sheetView workbookViewId="0">
      <selection activeCell="H24" sqref="H24"/>
    </sheetView>
  </sheetViews>
  <sheetFormatPr baseColWidth="10" defaultRowHeight="16" x14ac:dyDescent="0.2"/>
  <cols>
    <col min="3" max="3" width="13.33203125" customWidth="1"/>
    <col min="4" max="4" width="13" customWidth="1"/>
    <col min="5" max="5" width="14.1640625" customWidth="1"/>
    <col min="7" max="7" width="21.83203125" customWidth="1"/>
    <col min="8" max="8" width="22.83203125" customWidth="1"/>
    <col min="9" max="9" width="22.5" customWidth="1"/>
  </cols>
  <sheetData>
    <row r="1" spans="1:3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2"/>
      <c r="H1" s="29"/>
      <c r="I1" s="29"/>
      <c r="J1" s="13"/>
      <c r="K1" s="20"/>
      <c r="L1" s="20"/>
      <c r="M1" s="20"/>
      <c r="N1" s="20"/>
      <c r="O1" s="13"/>
      <c r="P1" s="30"/>
      <c r="Q1" s="30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</row>
    <row r="2" spans="1:39" x14ac:dyDescent="0.2">
      <c r="A2" s="1">
        <v>2019</v>
      </c>
      <c r="B2" s="1" t="s">
        <v>5</v>
      </c>
      <c r="C2" s="8">
        <v>5674</v>
      </c>
      <c r="D2" s="8">
        <v>6721</v>
      </c>
      <c r="E2" s="8">
        <v>3947</v>
      </c>
      <c r="G2" s="9"/>
      <c r="H2" s="31"/>
      <c r="I2" s="31"/>
      <c r="J2" s="13"/>
      <c r="K2" s="32"/>
      <c r="L2" s="32"/>
      <c r="M2" s="32"/>
      <c r="N2" s="32"/>
      <c r="O2" s="13"/>
      <c r="P2" s="15"/>
      <c r="Q2" s="15"/>
      <c r="R2" s="15"/>
      <c r="S2" s="15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spans="1:39" x14ac:dyDescent="0.2">
      <c r="A3" s="1">
        <v>2019</v>
      </c>
      <c r="B3" s="1" t="s">
        <v>6</v>
      </c>
      <c r="C3" s="8">
        <v>3598</v>
      </c>
      <c r="D3" s="8">
        <v>9374</v>
      </c>
      <c r="E3" s="8">
        <v>7272</v>
      </c>
      <c r="G3" s="9"/>
      <c r="H3" s="31"/>
      <c r="I3" s="31"/>
      <c r="J3" s="13"/>
      <c r="K3" s="11"/>
      <c r="L3" s="11"/>
      <c r="M3" s="11"/>
      <c r="N3" s="11"/>
      <c r="O3" s="13"/>
      <c r="P3" s="4"/>
      <c r="Q3" s="4"/>
      <c r="R3" s="4"/>
      <c r="S3" s="4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1:39" x14ac:dyDescent="0.2">
      <c r="A4" s="1">
        <v>2019</v>
      </c>
      <c r="B4" s="1" t="s">
        <v>7</v>
      </c>
      <c r="C4" s="8">
        <v>8765</v>
      </c>
      <c r="D4" s="8">
        <v>9272</v>
      </c>
      <c r="E4" s="8">
        <v>5100</v>
      </c>
      <c r="G4" s="9"/>
      <c r="H4" s="31"/>
      <c r="I4" s="31"/>
      <c r="J4" s="13"/>
      <c r="K4" s="11"/>
      <c r="L4" s="11"/>
      <c r="M4" s="11"/>
      <c r="N4" s="11"/>
      <c r="O4" s="13"/>
      <c r="P4" s="4"/>
      <c r="Q4" s="4"/>
      <c r="R4" s="4"/>
      <c r="S4" s="4"/>
      <c r="T4" s="13"/>
      <c r="U4" s="13"/>
      <c r="V4" s="14"/>
      <c r="W4" s="14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1:39" x14ac:dyDescent="0.2">
      <c r="A5" s="1">
        <v>2019</v>
      </c>
      <c r="B5" s="1" t="s">
        <v>8</v>
      </c>
      <c r="C5" s="8">
        <v>4539</v>
      </c>
      <c r="D5" s="8">
        <v>6473</v>
      </c>
      <c r="E5" s="8">
        <v>4545</v>
      </c>
      <c r="G5" s="9"/>
      <c r="H5" s="31"/>
      <c r="I5" s="31"/>
      <c r="J5" s="13"/>
      <c r="K5" s="11"/>
      <c r="L5" s="11"/>
      <c r="M5" s="11"/>
      <c r="N5" s="11"/>
      <c r="O5" s="13"/>
      <c r="P5" s="4"/>
      <c r="Q5" s="4"/>
      <c r="R5" s="4"/>
      <c r="S5" s="4"/>
      <c r="T5" s="13"/>
      <c r="U5" s="13"/>
      <c r="V5" s="4"/>
      <c r="W5" s="4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 spans="1:39" x14ac:dyDescent="0.2">
      <c r="A6" s="1">
        <v>2020</v>
      </c>
      <c r="B6" s="1" t="s">
        <v>5</v>
      </c>
      <c r="C6" s="8">
        <v>6238</v>
      </c>
      <c r="D6" s="8">
        <v>3948</v>
      </c>
      <c r="E6" s="8">
        <v>6512</v>
      </c>
      <c r="G6" s="9"/>
      <c r="H6" s="31"/>
      <c r="I6" s="31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4"/>
      <c r="W6" s="4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 spans="1:39" x14ac:dyDescent="0.2">
      <c r="A7" s="1">
        <v>2020</v>
      </c>
      <c r="B7" s="1" t="s">
        <v>6</v>
      </c>
      <c r="C7" s="8">
        <v>8728</v>
      </c>
      <c r="D7" s="8">
        <v>7972</v>
      </c>
      <c r="E7" s="8">
        <v>5623</v>
      </c>
      <c r="G7" s="9"/>
      <c r="H7" s="31"/>
      <c r="I7" s="31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4"/>
      <c r="W7" s="4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</row>
    <row r="8" spans="1:39" x14ac:dyDescent="0.2">
      <c r="A8" s="1">
        <v>2020</v>
      </c>
      <c r="B8" s="1" t="s">
        <v>7</v>
      </c>
      <c r="C8" s="8">
        <v>4589</v>
      </c>
      <c r="D8" s="8">
        <v>9224</v>
      </c>
      <c r="E8" s="8">
        <v>8639</v>
      </c>
      <c r="G8" s="9"/>
      <c r="H8" s="31"/>
      <c r="I8" s="31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4"/>
      <c r="W8" s="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</row>
    <row r="9" spans="1:39" x14ac:dyDescent="0.2">
      <c r="A9" s="1">
        <v>2020</v>
      </c>
      <c r="B9" s="1" t="s">
        <v>8</v>
      </c>
      <c r="C9" s="8">
        <v>6098</v>
      </c>
      <c r="D9" s="8">
        <v>2315</v>
      </c>
      <c r="E9" s="8">
        <v>5000</v>
      </c>
      <c r="G9" s="9"/>
      <c r="H9" s="31"/>
      <c r="I9" s="31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4"/>
      <c r="W9" s="4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</row>
    <row r="10" spans="1:39" x14ac:dyDescent="0.2">
      <c r="A10" s="1">
        <v>2021</v>
      </c>
      <c r="B10" s="1" t="s">
        <v>5</v>
      </c>
      <c r="C10" s="8">
        <v>7312</v>
      </c>
      <c r="D10" s="8">
        <v>8665</v>
      </c>
      <c r="E10" s="8">
        <v>5041</v>
      </c>
      <c r="G10" s="9"/>
      <c r="H10" s="31"/>
      <c r="I10" s="31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</row>
    <row r="11" spans="1:39" x14ac:dyDescent="0.2">
      <c r="A11" s="1">
        <v>2021</v>
      </c>
      <c r="B11" s="1" t="s">
        <v>6</v>
      </c>
      <c r="C11" s="8">
        <v>8361</v>
      </c>
      <c r="D11" s="8">
        <v>4629</v>
      </c>
      <c r="E11" s="8">
        <v>7371</v>
      </c>
      <c r="G11" s="9"/>
      <c r="H11" s="31"/>
      <c r="I11" s="31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</row>
    <row r="12" spans="1:39" x14ac:dyDescent="0.2">
      <c r="A12" s="1">
        <v>2021</v>
      </c>
      <c r="B12" s="1" t="s">
        <v>7</v>
      </c>
      <c r="C12" s="8">
        <v>5343</v>
      </c>
      <c r="D12" s="8">
        <v>5126</v>
      </c>
      <c r="E12" s="8">
        <v>6777</v>
      </c>
      <c r="G12" s="9"/>
      <c r="H12" s="31"/>
      <c r="I12" s="31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5"/>
      <c r="W12" s="15"/>
      <c r="X12" s="15"/>
      <c r="Y12" s="15"/>
      <c r="Z12" s="15"/>
      <c r="AA12" s="15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</row>
    <row r="13" spans="1:39" x14ac:dyDescent="0.2">
      <c r="A13" s="1">
        <v>2021</v>
      </c>
      <c r="B13" s="1" t="s">
        <v>8</v>
      </c>
      <c r="C13" s="8">
        <v>8265</v>
      </c>
      <c r="D13" s="8">
        <v>3341</v>
      </c>
      <c r="E13" s="8">
        <v>7609</v>
      </c>
      <c r="G13" s="9"/>
      <c r="H13" s="31"/>
      <c r="I13" s="31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4"/>
      <c r="W13" s="4"/>
      <c r="X13" s="4"/>
      <c r="Y13" s="4"/>
      <c r="Z13" s="4"/>
      <c r="AA13" s="4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</row>
    <row r="14" spans="1:39" x14ac:dyDescent="0.2">
      <c r="A14" s="1"/>
      <c r="B14" s="1"/>
      <c r="C14" s="1"/>
      <c r="D14" s="1"/>
      <c r="E14" s="1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4"/>
      <c r="W14" s="4"/>
      <c r="X14" s="4"/>
      <c r="Y14" s="4"/>
      <c r="Z14" s="4"/>
      <c r="AA14" s="4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</row>
    <row r="15" spans="1:39" x14ac:dyDescent="0.2">
      <c r="A15" s="1"/>
      <c r="B15" s="1"/>
      <c r="C15" s="1"/>
      <c r="D15" s="1"/>
      <c r="E15" s="1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4"/>
      <c r="W15" s="4"/>
      <c r="X15" s="4"/>
      <c r="Y15" s="4"/>
      <c r="Z15" s="4"/>
      <c r="AA15" s="4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</row>
    <row r="16" spans="1:39" x14ac:dyDescent="0.2"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</row>
    <row r="17" spans="8:39" x14ac:dyDescent="0.2"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3"/>
      <c r="AG17" s="13"/>
      <c r="AH17" s="13"/>
      <c r="AI17" s="13"/>
      <c r="AJ17" s="13"/>
      <c r="AK17" s="13"/>
      <c r="AL17" s="13"/>
      <c r="AM17" s="13"/>
    </row>
    <row r="18" spans="8:39" x14ac:dyDescent="0.2"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13"/>
      <c r="AG18" s="13"/>
      <c r="AH18" s="13"/>
      <c r="AI18" s="13"/>
      <c r="AJ18" s="13"/>
      <c r="AK18" s="13"/>
      <c r="AL18" s="13"/>
      <c r="AM18" s="13"/>
    </row>
    <row r="19" spans="8:39" x14ac:dyDescent="0.2"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13"/>
      <c r="AG19" s="13"/>
      <c r="AH19" s="13"/>
      <c r="AI19" s="13"/>
      <c r="AJ19" s="13"/>
      <c r="AK19" s="13"/>
      <c r="AL19" s="13"/>
      <c r="AM19" s="13"/>
    </row>
    <row r="20" spans="8:39" x14ac:dyDescent="0.2"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spans="8:39" x14ac:dyDescent="0.2"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</row>
    <row r="22" spans="8:39" x14ac:dyDescent="0.2"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spans="8:39" x14ac:dyDescent="0.2"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</row>
    <row r="24" spans="8:39" x14ac:dyDescent="0.2"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</row>
    <row r="25" spans="8:39" x14ac:dyDescent="0.2"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5"/>
      <c r="W25" s="15"/>
      <c r="X25" s="15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</row>
    <row r="26" spans="8:39" x14ac:dyDescent="0.2"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4"/>
      <c r="W26" s="4"/>
      <c r="X26" s="4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</row>
    <row r="27" spans="8:39" x14ac:dyDescent="0.2"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4"/>
      <c r="W27" s="4"/>
      <c r="X27" s="4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</row>
    <row r="28" spans="8:39" x14ac:dyDescent="0.2">
      <c r="H28" s="15"/>
      <c r="I28" s="15"/>
      <c r="J28" s="15"/>
      <c r="K28" s="15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4"/>
      <c r="W28" s="4"/>
      <c r="X28" s="4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spans="8:39" x14ac:dyDescent="0.2">
      <c r="H29" s="4"/>
      <c r="I29" s="4"/>
      <c r="J29" s="4"/>
      <c r="K29" s="4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4"/>
      <c r="W29" s="4"/>
      <c r="X29" s="4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</row>
    <row r="30" spans="8:39" x14ac:dyDescent="0.2">
      <c r="H30" s="4"/>
      <c r="I30" s="4"/>
      <c r="J30" s="4"/>
      <c r="K30" s="4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4"/>
      <c r="W30" s="4"/>
      <c r="X30" s="4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 spans="8:39" x14ac:dyDescent="0.2">
      <c r="H31" s="4"/>
      <c r="I31" s="4"/>
      <c r="J31" s="4"/>
      <c r="K31" s="4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4"/>
      <c r="W31" s="4"/>
      <c r="X31" s="4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spans="8:39" x14ac:dyDescent="0.2"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4"/>
      <c r="W32" s="4"/>
      <c r="X32" s="4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spans="8:39" x14ac:dyDescent="0.2"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4"/>
      <c r="W33" s="4"/>
      <c r="X33" s="4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spans="8:39" x14ac:dyDescent="0.2"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4"/>
      <c r="W34" s="4"/>
      <c r="X34" s="4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spans="8:39" x14ac:dyDescent="0.2"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4"/>
      <c r="W35" s="4"/>
      <c r="X35" s="4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 spans="8:39" x14ac:dyDescent="0.2">
      <c r="H36" s="20"/>
      <c r="I36" s="20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4"/>
      <c r="W36" s="4"/>
      <c r="X36" s="4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7" spans="8:39" x14ac:dyDescent="0.2"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4"/>
      <c r="W37" s="4"/>
      <c r="X37" s="4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</row>
    <row r="38" spans="8:39" x14ac:dyDescent="0.2"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</row>
    <row r="39" spans="8:39" x14ac:dyDescent="0.2"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</row>
    <row r="40" spans="8:39" x14ac:dyDescent="0.2"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</row>
    <row r="41" spans="8:39" x14ac:dyDescent="0.2"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</row>
    <row r="42" spans="8:39" x14ac:dyDescent="0.2"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43" spans="8:39" x14ac:dyDescent="0.2"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spans="8:39" x14ac:dyDescent="0.2"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spans="8:39" x14ac:dyDescent="0.2"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spans="8:39" x14ac:dyDescent="0.2"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spans="8:39" x14ac:dyDescent="0.2"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8:39" x14ac:dyDescent="0.2"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 spans="8:38" x14ac:dyDescent="0.2"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spans="8:38" x14ac:dyDescent="0.2"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</sheetData>
  <mergeCells count="2">
    <mergeCell ref="K1:N1"/>
    <mergeCell ref="H36:I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CE60-DD0D-6A44-B058-6B072083E8EE}">
  <dimension ref="A1:H13"/>
  <sheetViews>
    <sheetView tabSelected="1" workbookViewId="0">
      <selection activeCell="H38" sqref="H38"/>
    </sheetView>
  </sheetViews>
  <sheetFormatPr baseColWidth="10" defaultRowHeight="16" x14ac:dyDescent="0.2"/>
  <cols>
    <col min="3" max="3" width="14.33203125" customWidth="1"/>
    <col min="4" max="4" width="14.1640625" customWidth="1"/>
    <col min="5" max="5" width="13.83203125" customWidth="1"/>
    <col min="6" max="6" width="22.33203125" customWidth="1"/>
    <col min="7" max="7" width="22.5" customWidth="1"/>
    <col min="8" max="8" width="22.1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40</v>
      </c>
      <c r="G1" s="2" t="s">
        <v>41</v>
      </c>
      <c r="H1" s="2" t="s">
        <v>42</v>
      </c>
    </row>
    <row r="2" spans="1:8" x14ac:dyDescent="0.2">
      <c r="A2" s="1">
        <v>2019</v>
      </c>
      <c r="B2" s="1" t="s">
        <v>5</v>
      </c>
      <c r="C2" s="8">
        <v>5674</v>
      </c>
      <c r="D2" s="8">
        <v>6721</v>
      </c>
      <c r="E2" s="8">
        <v>3947</v>
      </c>
      <c r="F2" t="e">
        <v>#N/A</v>
      </c>
      <c r="G2" t="e">
        <v>#N/A</v>
      </c>
      <c r="H2" t="e">
        <v>#N/A</v>
      </c>
    </row>
    <row r="3" spans="1:8" x14ac:dyDescent="0.2">
      <c r="A3" s="1">
        <v>2019</v>
      </c>
      <c r="B3" s="1" t="s">
        <v>6</v>
      </c>
      <c r="C3" s="8">
        <v>3598</v>
      </c>
      <c r="D3" s="8">
        <v>9374</v>
      </c>
      <c r="E3" s="8">
        <v>7272</v>
      </c>
      <c r="F3" t="e">
        <v>#N/A</v>
      </c>
      <c r="G3" t="e">
        <v>#N/A</v>
      </c>
      <c r="H3" t="e">
        <v>#N/A</v>
      </c>
    </row>
    <row r="4" spans="1:8" x14ac:dyDescent="0.2">
      <c r="A4" s="1">
        <v>2019</v>
      </c>
      <c r="B4" s="1" t="s">
        <v>7</v>
      </c>
      <c r="C4" s="8">
        <v>8765</v>
      </c>
      <c r="D4" s="8">
        <v>9272</v>
      </c>
      <c r="E4" s="8">
        <v>5100</v>
      </c>
      <c r="F4" s="9">
        <f t="shared" ref="F4:F13" si="0">AVERAGE(C2:C4)</f>
        <v>6012.333333333333</v>
      </c>
      <c r="G4" s="9">
        <f t="shared" ref="G4:G13" si="1">AVERAGE(D2:D4)</f>
        <v>8455.6666666666661</v>
      </c>
      <c r="H4" s="9">
        <f t="shared" ref="H4:H13" si="2">AVERAGE(E2:E4)</f>
        <v>5439.666666666667</v>
      </c>
    </row>
    <row r="5" spans="1:8" x14ac:dyDescent="0.2">
      <c r="A5" s="1">
        <v>2019</v>
      </c>
      <c r="B5" s="1" t="s">
        <v>8</v>
      </c>
      <c r="C5" s="8">
        <v>4539</v>
      </c>
      <c r="D5" s="8">
        <v>6473</v>
      </c>
      <c r="E5" s="8">
        <v>4545</v>
      </c>
      <c r="F5" s="9">
        <f t="shared" si="0"/>
        <v>5634</v>
      </c>
      <c r="G5" s="9">
        <f t="shared" si="1"/>
        <v>8373</v>
      </c>
      <c r="H5" s="9">
        <f t="shared" si="2"/>
        <v>5639</v>
      </c>
    </row>
    <row r="6" spans="1:8" x14ac:dyDescent="0.2">
      <c r="A6" s="1">
        <v>2020</v>
      </c>
      <c r="B6" s="1" t="s">
        <v>5</v>
      </c>
      <c r="C6" s="8">
        <v>6238</v>
      </c>
      <c r="D6" s="8">
        <v>3948</v>
      </c>
      <c r="E6" s="8">
        <v>6512</v>
      </c>
      <c r="F6" s="9">
        <f t="shared" si="0"/>
        <v>6514</v>
      </c>
      <c r="G6" s="9">
        <f t="shared" si="1"/>
        <v>6564.333333333333</v>
      </c>
      <c r="H6" s="9">
        <f t="shared" si="2"/>
        <v>5385.666666666667</v>
      </c>
    </row>
    <row r="7" spans="1:8" x14ac:dyDescent="0.2">
      <c r="A7" s="1">
        <v>2020</v>
      </c>
      <c r="B7" s="1" t="s">
        <v>6</v>
      </c>
      <c r="C7" s="8">
        <v>8728</v>
      </c>
      <c r="D7" s="8">
        <v>7972</v>
      </c>
      <c r="E7" s="8">
        <v>5623</v>
      </c>
      <c r="F7" s="9">
        <f t="shared" si="0"/>
        <v>6501.666666666667</v>
      </c>
      <c r="G7" s="9">
        <f t="shared" si="1"/>
        <v>6131</v>
      </c>
      <c r="H7" s="9">
        <f t="shared" si="2"/>
        <v>5560</v>
      </c>
    </row>
    <row r="8" spans="1:8" x14ac:dyDescent="0.2">
      <c r="A8" s="1">
        <v>2020</v>
      </c>
      <c r="B8" s="1" t="s">
        <v>7</v>
      </c>
      <c r="C8" s="8">
        <v>4589</v>
      </c>
      <c r="D8" s="8">
        <v>9224</v>
      </c>
      <c r="E8" s="8">
        <v>8639</v>
      </c>
      <c r="F8" s="9">
        <f t="shared" si="0"/>
        <v>6518.333333333333</v>
      </c>
      <c r="G8" s="9">
        <f t="shared" si="1"/>
        <v>7048</v>
      </c>
      <c r="H8" s="9">
        <f t="shared" si="2"/>
        <v>6924.666666666667</v>
      </c>
    </row>
    <row r="9" spans="1:8" x14ac:dyDescent="0.2">
      <c r="A9" s="1">
        <v>2020</v>
      </c>
      <c r="B9" s="1" t="s">
        <v>8</v>
      </c>
      <c r="C9" s="8">
        <v>6098</v>
      </c>
      <c r="D9" s="8">
        <v>2315</v>
      </c>
      <c r="E9" s="8">
        <v>5000</v>
      </c>
      <c r="F9" s="9">
        <f t="shared" si="0"/>
        <v>6471.666666666667</v>
      </c>
      <c r="G9" s="9">
        <f t="shared" si="1"/>
        <v>6503.666666666667</v>
      </c>
      <c r="H9" s="9">
        <f t="shared" si="2"/>
        <v>6420.666666666667</v>
      </c>
    </row>
    <row r="10" spans="1:8" x14ac:dyDescent="0.2">
      <c r="A10" s="1">
        <v>2021</v>
      </c>
      <c r="B10" s="1" t="s">
        <v>5</v>
      </c>
      <c r="C10" s="8">
        <v>7312</v>
      </c>
      <c r="D10" s="8">
        <v>8665</v>
      </c>
      <c r="E10" s="8">
        <v>5041</v>
      </c>
      <c r="F10" s="9">
        <f t="shared" si="0"/>
        <v>5999.666666666667</v>
      </c>
      <c r="G10" s="9">
        <f t="shared" si="1"/>
        <v>6734.666666666667</v>
      </c>
      <c r="H10" s="9">
        <f t="shared" si="2"/>
        <v>6226.666666666667</v>
      </c>
    </row>
    <row r="11" spans="1:8" x14ac:dyDescent="0.2">
      <c r="A11" s="1">
        <v>2021</v>
      </c>
      <c r="B11" s="1" t="s">
        <v>6</v>
      </c>
      <c r="C11" s="8">
        <v>8361</v>
      </c>
      <c r="D11" s="8">
        <v>4629</v>
      </c>
      <c r="E11" s="8">
        <v>7371</v>
      </c>
      <c r="F11" s="9">
        <f t="shared" si="0"/>
        <v>7257</v>
      </c>
      <c r="G11" s="9">
        <f t="shared" si="1"/>
        <v>5203</v>
      </c>
      <c r="H11" s="9">
        <f t="shared" si="2"/>
        <v>5804</v>
      </c>
    </row>
    <row r="12" spans="1:8" x14ac:dyDescent="0.2">
      <c r="A12" s="1">
        <v>2021</v>
      </c>
      <c r="B12" s="1" t="s">
        <v>7</v>
      </c>
      <c r="C12" s="8">
        <v>5343</v>
      </c>
      <c r="D12" s="8">
        <v>5126</v>
      </c>
      <c r="E12" s="8">
        <v>6777</v>
      </c>
      <c r="F12" s="9">
        <f t="shared" si="0"/>
        <v>7005.333333333333</v>
      </c>
      <c r="G12" s="9">
        <f t="shared" si="1"/>
        <v>6140</v>
      </c>
      <c r="H12" s="9">
        <f t="shared" si="2"/>
        <v>6396.333333333333</v>
      </c>
    </row>
    <row r="13" spans="1:8" x14ac:dyDescent="0.2">
      <c r="A13" s="1">
        <v>2021</v>
      </c>
      <c r="B13" s="1" t="s">
        <v>8</v>
      </c>
      <c r="C13" s="8">
        <v>8265</v>
      </c>
      <c r="D13" s="8">
        <v>3341</v>
      </c>
      <c r="E13" s="8">
        <v>7609</v>
      </c>
      <c r="F13" s="9">
        <f t="shared" si="0"/>
        <v>7323</v>
      </c>
      <c r="G13" s="9">
        <f t="shared" si="1"/>
        <v>4365.333333333333</v>
      </c>
      <c r="H13" s="9">
        <f t="shared" si="2"/>
        <v>7252.333333333333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589F-707D-FD42-9829-FB1FA7D7917F}">
  <dimension ref="A1:AI38"/>
  <sheetViews>
    <sheetView workbookViewId="0">
      <selection activeCell="AF22" sqref="AF22"/>
    </sheetView>
  </sheetViews>
  <sheetFormatPr baseColWidth="10" defaultRowHeight="16" x14ac:dyDescent="0.2"/>
  <cols>
    <col min="3" max="3" width="14" customWidth="1"/>
    <col min="4" max="4" width="13.83203125" customWidth="1"/>
    <col min="5" max="5" width="13.6640625" customWidth="1"/>
  </cols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32" x14ac:dyDescent="0.2">
      <c r="A2" s="1">
        <v>2019</v>
      </c>
      <c r="B2" s="1" t="s">
        <v>5</v>
      </c>
      <c r="C2" s="8">
        <v>5674</v>
      </c>
      <c r="D2" s="8">
        <v>6721</v>
      </c>
      <c r="E2" s="8">
        <v>3947</v>
      </c>
      <c r="G2" t="s">
        <v>43</v>
      </c>
      <c r="Q2" t="s">
        <v>44</v>
      </c>
      <c r="AA2" t="s">
        <v>12</v>
      </c>
    </row>
    <row r="3" spans="1:32" ht="17" thickBot="1" x14ac:dyDescent="0.25">
      <c r="A3" s="1">
        <v>2019</v>
      </c>
      <c r="B3" s="1" t="s">
        <v>6</v>
      </c>
      <c r="C3" s="8">
        <v>3598</v>
      </c>
      <c r="D3" s="8">
        <v>9374</v>
      </c>
      <c r="E3" s="8">
        <v>7272</v>
      </c>
    </row>
    <row r="4" spans="1:32" x14ac:dyDescent="0.2">
      <c r="A4" s="1">
        <v>2019</v>
      </c>
      <c r="B4" s="1" t="s">
        <v>7</v>
      </c>
      <c r="C4" s="8">
        <v>8765</v>
      </c>
      <c r="D4" s="8">
        <v>9272</v>
      </c>
      <c r="E4" s="8">
        <v>5100</v>
      </c>
      <c r="G4" s="12" t="s">
        <v>13</v>
      </c>
      <c r="H4" s="12"/>
      <c r="Q4" s="12" t="s">
        <v>13</v>
      </c>
      <c r="R4" s="12"/>
      <c r="AA4" s="12" t="s">
        <v>13</v>
      </c>
      <c r="AB4" s="12"/>
    </row>
    <row r="5" spans="1:32" x14ac:dyDescent="0.2">
      <c r="A5" s="1">
        <v>2019</v>
      </c>
      <c r="B5" s="1" t="s">
        <v>8</v>
      </c>
      <c r="C5" s="8">
        <v>4539</v>
      </c>
      <c r="D5" s="8">
        <v>6473</v>
      </c>
      <c r="E5" s="8">
        <v>4545</v>
      </c>
      <c r="G5" s="4" t="s">
        <v>14</v>
      </c>
      <c r="H5" s="4">
        <v>0.39796772075342124</v>
      </c>
      <c r="Q5" s="4" t="s">
        <v>14</v>
      </c>
      <c r="R5" s="4">
        <v>0.42717228018172582</v>
      </c>
      <c r="AA5" s="4" t="s">
        <v>14</v>
      </c>
      <c r="AB5" s="4">
        <v>0.43795084780805404</v>
      </c>
    </row>
    <row r="6" spans="1:32" x14ac:dyDescent="0.2">
      <c r="A6" s="1">
        <v>2020</v>
      </c>
      <c r="B6" s="1" t="s">
        <v>5</v>
      </c>
      <c r="C6" s="8">
        <v>6238</v>
      </c>
      <c r="D6" s="8">
        <v>3948</v>
      </c>
      <c r="E6" s="8">
        <v>6512</v>
      </c>
      <c r="G6" s="4" t="s">
        <v>15</v>
      </c>
      <c r="H6" s="4">
        <v>0.15837830676167305</v>
      </c>
      <c r="Q6" s="4" t="s">
        <v>15</v>
      </c>
      <c r="R6" s="4">
        <v>0.18247615695565486</v>
      </c>
      <c r="AA6" s="4" t="s">
        <v>15</v>
      </c>
      <c r="AB6" s="4">
        <v>0.19180094509579332</v>
      </c>
    </row>
    <row r="7" spans="1:32" x14ac:dyDescent="0.2">
      <c r="A7" s="1">
        <v>2020</v>
      </c>
      <c r="B7" s="1" t="s">
        <v>6</v>
      </c>
      <c r="C7" s="8">
        <v>8728</v>
      </c>
      <c r="D7" s="8">
        <v>7972</v>
      </c>
      <c r="E7" s="8">
        <v>5623</v>
      </c>
      <c r="G7" s="4" t="s">
        <v>16</v>
      </c>
      <c r="H7" s="4">
        <v>7.4216137437840363E-2</v>
      </c>
      <c r="Q7" s="4" t="s">
        <v>16</v>
      </c>
      <c r="R7" s="4">
        <v>0.10072377265122034</v>
      </c>
      <c r="AA7" s="4" t="s">
        <v>16</v>
      </c>
      <c r="AB7" s="4">
        <v>0.11098103960537264</v>
      </c>
    </row>
    <row r="8" spans="1:32" x14ac:dyDescent="0.2">
      <c r="A8" s="1">
        <v>2020</v>
      </c>
      <c r="B8" s="1" t="s">
        <v>7</v>
      </c>
      <c r="C8" s="8">
        <v>4589</v>
      </c>
      <c r="D8" s="8">
        <v>9224</v>
      </c>
      <c r="E8" s="8">
        <v>8639</v>
      </c>
      <c r="G8" s="4" t="s">
        <v>17</v>
      </c>
      <c r="H8" s="4">
        <v>1728.0822185783481</v>
      </c>
      <c r="Q8" s="4" t="s">
        <v>17</v>
      </c>
      <c r="R8" s="4">
        <v>2385.1714517339556</v>
      </c>
      <c r="AA8" s="4" t="s">
        <v>17</v>
      </c>
      <c r="AB8" s="4">
        <v>1361.8721733946497</v>
      </c>
    </row>
    <row r="9" spans="1:32" ht="17" thickBot="1" x14ac:dyDescent="0.25">
      <c r="A9" s="1">
        <v>2020</v>
      </c>
      <c r="B9" s="1" t="s">
        <v>8</v>
      </c>
      <c r="C9" s="8">
        <v>6098</v>
      </c>
      <c r="D9" s="8">
        <v>2315</v>
      </c>
      <c r="E9" s="8">
        <v>5000</v>
      </c>
      <c r="G9" s="5" t="s">
        <v>18</v>
      </c>
      <c r="H9" s="5">
        <v>12</v>
      </c>
      <c r="Q9" s="5" t="s">
        <v>18</v>
      </c>
      <c r="R9" s="5">
        <v>12</v>
      </c>
      <c r="AA9" s="5" t="s">
        <v>18</v>
      </c>
      <c r="AB9" s="5">
        <v>12</v>
      </c>
    </row>
    <row r="10" spans="1:32" x14ac:dyDescent="0.2">
      <c r="A10" s="1">
        <v>2021</v>
      </c>
      <c r="B10" s="1" t="s">
        <v>5</v>
      </c>
      <c r="C10" s="8">
        <v>7312</v>
      </c>
      <c r="D10" s="8">
        <v>8665</v>
      </c>
      <c r="E10" s="8">
        <v>5041</v>
      </c>
    </row>
    <row r="11" spans="1:32" ht="17" thickBot="1" x14ac:dyDescent="0.25">
      <c r="A11" s="1">
        <v>2021</v>
      </c>
      <c r="B11" s="1" t="s">
        <v>6</v>
      </c>
      <c r="C11" s="8">
        <v>8361</v>
      </c>
      <c r="D11" s="8">
        <v>4629</v>
      </c>
      <c r="E11" s="8">
        <v>7371</v>
      </c>
      <c r="G11" t="s">
        <v>19</v>
      </c>
      <c r="Q11" t="s">
        <v>19</v>
      </c>
      <c r="AA11" t="s">
        <v>19</v>
      </c>
    </row>
    <row r="12" spans="1:32" x14ac:dyDescent="0.2">
      <c r="A12" s="1">
        <v>2021</v>
      </c>
      <c r="B12" s="1" t="s">
        <v>7</v>
      </c>
      <c r="C12" s="8">
        <v>5343</v>
      </c>
      <c r="D12" s="8">
        <v>5126</v>
      </c>
      <c r="E12" s="8">
        <v>6777</v>
      </c>
      <c r="G12" s="7"/>
      <c r="H12" s="7" t="s">
        <v>24</v>
      </c>
      <c r="I12" s="7" t="s">
        <v>25</v>
      </c>
      <c r="J12" s="7" t="s">
        <v>26</v>
      </c>
      <c r="K12" s="7" t="s">
        <v>27</v>
      </c>
      <c r="L12" s="7" t="s">
        <v>28</v>
      </c>
      <c r="Q12" s="7"/>
      <c r="R12" s="7" t="s">
        <v>24</v>
      </c>
      <c r="S12" s="7" t="s">
        <v>25</v>
      </c>
      <c r="T12" s="7" t="s">
        <v>26</v>
      </c>
      <c r="U12" s="7" t="s">
        <v>27</v>
      </c>
      <c r="V12" s="7" t="s">
        <v>28</v>
      </c>
      <c r="AA12" s="7"/>
      <c r="AB12" s="7" t="s">
        <v>24</v>
      </c>
      <c r="AC12" s="7" t="s">
        <v>25</v>
      </c>
      <c r="AD12" s="7" t="s">
        <v>26</v>
      </c>
      <c r="AE12" s="7" t="s">
        <v>27</v>
      </c>
      <c r="AF12" s="7" t="s">
        <v>28</v>
      </c>
    </row>
    <row r="13" spans="1:32" x14ac:dyDescent="0.2">
      <c r="A13" s="1">
        <v>2021</v>
      </c>
      <c r="B13" s="1" t="s">
        <v>8</v>
      </c>
      <c r="C13" s="8">
        <v>8265</v>
      </c>
      <c r="D13" s="8">
        <v>3341</v>
      </c>
      <c r="E13" s="8">
        <v>7609</v>
      </c>
      <c r="G13" s="4" t="s">
        <v>20</v>
      </c>
      <c r="H13" s="4">
        <v>1</v>
      </c>
      <c r="I13" s="4">
        <v>5619628.1250000112</v>
      </c>
      <c r="J13" s="4">
        <v>5619628.1250000112</v>
      </c>
      <c r="K13" s="4">
        <v>1.8818230094839552</v>
      </c>
      <c r="L13" s="4">
        <v>0.20011697123918842</v>
      </c>
      <c r="Q13" s="4" t="s">
        <v>20</v>
      </c>
      <c r="R13" s="4">
        <v>1</v>
      </c>
      <c r="S13" s="4">
        <v>12698280.125000007</v>
      </c>
      <c r="T13" s="4">
        <v>12698280.125000007</v>
      </c>
      <c r="U13" s="4">
        <v>2.2320591443075108</v>
      </c>
      <c r="V13" s="4">
        <v>0.16604086488274419</v>
      </c>
      <c r="AA13" s="4" t="s">
        <v>20</v>
      </c>
      <c r="AB13" s="4">
        <v>1</v>
      </c>
      <c r="AC13" s="4">
        <v>4401544.5</v>
      </c>
      <c r="AD13" s="4">
        <v>4401544.5</v>
      </c>
      <c r="AE13" s="4">
        <v>2.3731894256981887</v>
      </c>
      <c r="AF13" s="4">
        <v>0.15445848788124175</v>
      </c>
    </row>
    <row r="14" spans="1:32" x14ac:dyDescent="0.2">
      <c r="G14" s="4" t="s">
        <v>21</v>
      </c>
      <c r="H14" s="4">
        <v>10</v>
      </c>
      <c r="I14" s="4">
        <v>29862681.54166666</v>
      </c>
      <c r="J14" s="4">
        <v>2986268.1541666659</v>
      </c>
      <c r="K14" s="4"/>
      <c r="L14" s="4"/>
      <c r="Q14" s="4" t="s">
        <v>21</v>
      </c>
      <c r="R14" s="4">
        <v>10</v>
      </c>
      <c r="S14" s="4">
        <v>56890428.541666664</v>
      </c>
      <c r="T14" s="4">
        <v>5689042.854166666</v>
      </c>
      <c r="U14" s="4"/>
      <c r="V14" s="4"/>
      <c r="AA14" s="4" t="s">
        <v>21</v>
      </c>
      <c r="AB14" s="4">
        <v>10</v>
      </c>
      <c r="AC14" s="4">
        <v>18546958.166666668</v>
      </c>
      <c r="AD14" s="4">
        <v>1854695.8166666669</v>
      </c>
      <c r="AE14" s="4"/>
      <c r="AF14" s="4"/>
    </row>
    <row r="15" spans="1:32" ht="17" thickBot="1" x14ac:dyDescent="0.25">
      <c r="G15" s="5" t="s">
        <v>22</v>
      </c>
      <c r="H15" s="5">
        <v>11</v>
      </c>
      <c r="I15" s="5">
        <v>35482309.666666672</v>
      </c>
      <c r="J15" s="5"/>
      <c r="K15" s="5"/>
      <c r="L15" s="5"/>
      <c r="Q15" s="5" t="s">
        <v>22</v>
      </c>
      <c r="R15" s="5">
        <v>11</v>
      </c>
      <c r="S15" s="5">
        <v>69588708.666666672</v>
      </c>
      <c r="T15" s="5"/>
      <c r="U15" s="5"/>
      <c r="V15" s="5"/>
      <c r="AA15" s="5" t="s">
        <v>22</v>
      </c>
      <c r="AB15" s="5">
        <v>11</v>
      </c>
      <c r="AC15" s="5">
        <v>22948502.666666668</v>
      </c>
      <c r="AD15" s="5"/>
      <c r="AE15" s="5"/>
      <c r="AF15" s="5"/>
    </row>
    <row r="16" spans="1:32" ht="17" thickBot="1" x14ac:dyDescent="0.25">
      <c r="B16" s="18" t="s">
        <v>50</v>
      </c>
      <c r="C16" s="18"/>
      <c r="D16" s="18"/>
      <c r="E16" s="18"/>
    </row>
    <row r="17" spans="2:35" x14ac:dyDescent="0.2">
      <c r="B17" s="18"/>
      <c r="C17" s="18"/>
      <c r="D17" s="18"/>
      <c r="E17" s="18"/>
      <c r="G17" s="7"/>
      <c r="H17" s="7" t="s">
        <v>29</v>
      </c>
      <c r="I17" s="7" t="s">
        <v>17</v>
      </c>
      <c r="J17" s="7" t="s">
        <v>30</v>
      </c>
      <c r="K17" s="7" t="s">
        <v>31</v>
      </c>
      <c r="L17" s="7" t="s">
        <v>32</v>
      </c>
      <c r="M17" s="7" t="s">
        <v>33</v>
      </c>
      <c r="N17" s="7" t="s">
        <v>34</v>
      </c>
      <c r="O17" s="7" t="s">
        <v>35</v>
      </c>
      <c r="Q17" s="7"/>
      <c r="R17" s="7" t="s">
        <v>29</v>
      </c>
      <c r="S17" s="7" t="s">
        <v>17</v>
      </c>
      <c r="T17" s="7" t="s">
        <v>30</v>
      </c>
      <c r="U17" s="7" t="s">
        <v>31</v>
      </c>
      <c r="V17" s="7" t="s">
        <v>32</v>
      </c>
      <c r="W17" s="7" t="s">
        <v>33</v>
      </c>
      <c r="X17" s="7" t="s">
        <v>34</v>
      </c>
      <c r="Y17" s="7" t="s">
        <v>35</v>
      </c>
      <c r="AA17" s="7"/>
      <c r="AB17" s="7" t="s">
        <v>29</v>
      </c>
      <c r="AC17" s="7" t="s">
        <v>17</v>
      </c>
      <c r="AD17" s="7" t="s">
        <v>30</v>
      </c>
      <c r="AE17" s="7" t="s">
        <v>31</v>
      </c>
      <c r="AF17" s="7" t="s">
        <v>32</v>
      </c>
      <c r="AG17" s="7" t="s">
        <v>33</v>
      </c>
      <c r="AH17" s="7" t="s">
        <v>34</v>
      </c>
      <c r="AI17" s="7" t="s">
        <v>35</v>
      </c>
    </row>
    <row r="18" spans="2:35" x14ac:dyDescent="0.2">
      <c r="B18" s="18"/>
      <c r="C18" s="18"/>
      <c r="D18" s="18"/>
      <c r="E18" s="18"/>
      <c r="G18" s="4" t="s">
        <v>23</v>
      </c>
      <c r="H18" s="4">
        <v>-1686553.3333333335</v>
      </c>
      <c r="I18" s="4">
        <v>1234158.1425767068</v>
      </c>
      <c r="J18" s="4">
        <v>-1.3665617680179174</v>
      </c>
      <c r="K18" s="4">
        <v>0.20170004630293784</v>
      </c>
      <c r="L18" s="4">
        <v>-4436429.0403037099</v>
      </c>
      <c r="M18" s="4">
        <v>1063322.3736370427</v>
      </c>
      <c r="N18" s="4">
        <v>-4436429.0403037099</v>
      </c>
      <c r="O18" s="4">
        <v>1063322.3736370427</v>
      </c>
      <c r="Q18" s="4" t="s">
        <v>23</v>
      </c>
      <c r="R18" s="4">
        <v>2551369.166666667</v>
      </c>
      <c r="S18" s="4">
        <v>1703436.7560477881</v>
      </c>
      <c r="T18" s="4">
        <v>1.4977774534971295</v>
      </c>
      <c r="U18" s="4">
        <v>0.16507467894303082</v>
      </c>
      <c r="V18" s="4">
        <v>-1244124.4513848748</v>
      </c>
      <c r="W18" s="4">
        <v>6346862.7847182089</v>
      </c>
      <c r="X18" s="4">
        <v>-1244124.4513848748</v>
      </c>
      <c r="Y18" s="4">
        <v>6346862.7847182089</v>
      </c>
      <c r="AA18" s="4" t="s">
        <v>23</v>
      </c>
      <c r="AB18" s="4">
        <v>-1492215.3333333337</v>
      </c>
      <c r="AC18" s="4">
        <v>972619.01886032335</v>
      </c>
      <c r="AD18" s="4">
        <v>-1.5342238886936972</v>
      </c>
      <c r="AE18" s="4">
        <v>0.15598294821932257</v>
      </c>
      <c r="AF18" s="4">
        <v>-3659345.5574367912</v>
      </c>
      <c r="AG18" s="4">
        <v>674914.89077012369</v>
      </c>
      <c r="AH18" s="4">
        <v>-3659345.5574367912</v>
      </c>
      <c r="AI18" s="4">
        <v>674914.89077012369</v>
      </c>
    </row>
    <row r="19" spans="2:35" ht="17" thickBot="1" x14ac:dyDescent="0.25">
      <c r="G19" s="5" t="s">
        <v>0</v>
      </c>
      <c r="H19" s="5">
        <v>838.12500000000011</v>
      </c>
      <c r="I19" s="5">
        <v>610.96932760232175</v>
      </c>
      <c r="J19" s="5">
        <v>1.3717955421577781</v>
      </c>
      <c r="K19" s="5">
        <v>0.20011697123918881</v>
      </c>
      <c r="L19" s="5">
        <v>-523.199496202663</v>
      </c>
      <c r="M19" s="5">
        <v>2199.4494962026633</v>
      </c>
      <c r="N19" s="5">
        <v>-523.199496202663</v>
      </c>
      <c r="O19" s="5">
        <v>2199.4494962026633</v>
      </c>
      <c r="Q19" s="5" t="s">
        <v>0</v>
      </c>
      <c r="R19" s="5">
        <v>-1259.8750000000002</v>
      </c>
      <c r="S19" s="5">
        <v>843.28545390682098</v>
      </c>
      <c r="T19" s="5">
        <v>-1.4940077457320999</v>
      </c>
      <c r="U19" s="5">
        <v>0.16604086488274419</v>
      </c>
      <c r="V19" s="5">
        <v>-3138.8320831646688</v>
      </c>
      <c r="W19" s="5">
        <v>619.08208316466812</v>
      </c>
      <c r="X19" s="5">
        <v>-3138.8320831646688</v>
      </c>
      <c r="Y19" s="5">
        <v>619.08208316466812</v>
      </c>
      <c r="AA19" s="5" t="s">
        <v>0</v>
      </c>
      <c r="AB19" s="5">
        <v>741.75000000000023</v>
      </c>
      <c r="AC19" s="5">
        <v>481.49452445830917</v>
      </c>
      <c r="AD19" s="5">
        <v>1.5405159608709644</v>
      </c>
      <c r="AE19" s="5">
        <v>0.15445848788124139</v>
      </c>
      <c r="AF19" s="5">
        <v>-331.08665696421389</v>
      </c>
      <c r="AG19" s="5">
        <v>1814.5866569642144</v>
      </c>
      <c r="AH19" s="5">
        <v>-331.08665696421389</v>
      </c>
      <c r="AI19" s="5">
        <v>1814.5866569642144</v>
      </c>
    </row>
    <row r="21" spans="2:35" x14ac:dyDescent="0.2">
      <c r="K21" s="16" t="s">
        <v>27</v>
      </c>
      <c r="L21" s="19">
        <v>1.8818230094839552</v>
      </c>
      <c r="U21" s="16" t="s">
        <v>27</v>
      </c>
      <c r="V21" s="19">
        <v>2.2320591443075108</v>
      </c>
      <c r="W21" s="16"/>
      <c r="X21" s="16"/>
      <c r="AE21" s="16" t="s">
        <v>27</v>
      </c>
      <c r="AF21" s="19">
        <v>2.3731894256981887</v>
      </c>
      <c r="AG21" s="16"/>
      <c r="AH21" s="16"/>
    </row>
    <row r="22" spans="2:35" x14ac:dyDescent="0.2">
      <c r="K22" s="16" t="s">
        <v>47</v>
      </c>
      <c r="L22" s="16">
        <f>_xlfn.F.INV.RT(0.05, 1, 10)</f>
        <v>4.9646027437307128</v>
      </c>
      <c r="U22" s="16" t="s">
        <v>47</v>
      </c>
      <c r="V22" s="16">
        <f>_xlfn.F.INV.RT(0.05, 1, 10)</f>
        <v>4.9646027437307128</v>
      </c>
      <c r="W22" s="16"/>
      <c r="X22" s="16"/>
      <c r="AE22" s="16" t="s">
        <v>47</v>
      </c>
      <c r="AF22" s="16">
        <f>_xlfn.F.INV.RT(0.05, 1, 10)</f>
        <v>4.9646027437307128</v>
      </c>
      <c r="AG22" s="16"/>
      <c r="AH22" s="16"/>
    </row>
    <row r="23" spans="2:35" x14ac:dyDescent="0.2">
      <c r="G23" t="s">
        <v>36</v>
      </c>
      <c r="K23" s="16" t="s">
        <v>48</v>
      </c>
      <c r="L23" s="19">
        <v>0.20170004630293784</v>
      </c>
      <c r="Q23" t="s">
        <v>36</v>
      </c>
      <c r="U23" s="16" t="s">
        <v>48</v>
      </c>
      <c r="V23" s="19">
        <v>0.16507467894303082</v>
      </c>
      <c r="W23" s="16"/>
      <c r="X23" s="16"/>
      <c r="AA23" t="s">
        <v>36</v>
      </c>
      <c r="AE23" s="16" t="s">
        <v>48</v>
      </c>
      <c r="AF23" s="19">
        <v>0.15598294821932257</v>
      </c>
      <c r="AG23" s="16"/>
      <c r="AH23" s="16"/>
    </row>
    <row r="24" spans="2:35" ht="17" thickBot="1" x14ac:dyDescent="0.25">
      <c r="U24" s="16"/>
      <c r="V24" s="16"/>
      <c r="W24" s="16"/>
      <c r="X24" s="16"/>
      <c r="AE24" s="16"/>
      <c r="AF24" s="16"/>
      <c r="AG24" s="16"/>
      <c r="AH24" s="16"/>
    </row>
    <row r="25" spans="2:35" x14ac:dyDescent="0.2">
      <c r="G25" s="7" t="s">
        <v>37</v>
      </c>
      <c r="H25" s="7" t="s">
        <v>39</v>
      </c>
      <c r="I25" s="7" t="s">
        <v>38</v>
      </c>
      <c r="K25" s="17" t="s">
        <v>49</v>
      </c>
      <c r="L25" s="10"/>
      <c r="M25" s="10"/>
      <c r="N25" s="10"/>
      <c r="Q25" s="7" t="s">
        <v>37</v>
      </c>
      <c r="R25" s="7" t="s">
        <v>45</v>
      </c>
      <c r="S25" s="7" t="s">
        <v>38</v>
      </c>
      <c r="U25" s="17" t="s">
        <v>49</v>
      </c>
      <c r="V25" s="17"/>
      <c r="W25" s="17"/>
      <c r="X25" s="17"/>
      <c r="AA25" s="7" t="s">
        <v>37</v>
      </c>
      <c r="AB25" s="7" t="s">
        <v>46</v>
      </c>
      <c r="AC25" s="7" t="s">
        <v>38</v>
      </c>
      <c r="AE25" s="17" t="s">
        <v>49</v>
      </c>
      <c r="AF25" s="17"/>
      <c r="AG25" s="17"/>
      <c r="AH25" s="17"/>
    </row>
    <row r="26" spans="2:35" x14ac:dyDescent="0.2">
      <c r="G26" s="4">
        <v>1</v>
      </c>
      <c r="H26" s="4">
        <v>5621.0416666667406</v>
      </c>
      <c r="I26" s="4">
        <v>52.958333333259361</v>
      </c>
      <c r="Q26" s="4">
        <v>1</v>
      </c>
      <c r="R26" s="4">
        <v>7681.5416666665178</v>
      </c>
      <c r="S26" s="4">
        <v>-960.54166666651781</v>
      </c>
      <c r="AA26" s="4">
        <v>1</v>
      </c>
      <c r="AB26" s="4">
        <v>5377.9166666667379</v>
      </c>
      <c r="AC26" s="4">
        <v>-1430.9166666667379</v>
      </c>
    </row>
    <row r="27" spans="2:35" x14ac:dyDescent="0.2">
      <c r="G27" s="4">
        <v>2</v>
      </c>
      <c r="H27" s="4">
        <v>5621.0416666667406</v>
      </c>
      <c r="I27" s="4">
        <v>-2023.0416666667406</v>
      </c>
      <c r="Q27" s="4">
        <v>2</v>
      </c>
      <c r="R27" s="4">
        <v>7681.5416666665178</v>
      </c>
      <c r="S27" s="4">
        <v>1692.4583333334822</v>
      </c>
      <c r="AA27" s="4">
        <v>2</v>
      </c>
      <c r="AB27" s="4">
        <v>5377.9166666667379</v>
      </c>
      <c r="AC27" s="4">
        <v>1894.0833333332621</v>
      </c>
    </row>
    <row r="28" spans="2:35" x14ac:dyDescent="0.2">
      <c r="G28" s="4">
        <v>3</v>
      </c>
      <c r="H28" s="4">
        <v>5621.0416666667406</v>
      </c>
      <c r="I28" s="4">
        <v>3143.9583333332594</v>
      </c>
      <c r="Q28" s="4">
        <v>3</v>
      </c>
      <c r="R28" s="4">
        <v>7681.5416666665178</v>
      </c>
      <c r="S28" s="4">
        <v>1590.4583333334822</v>
      </c>
      <c r="AA28" s="4">
        <v>3</v>
      </c>
      <c r="AB28" s="4">
        <v>5377.9166666667379</v>
      </c>
      <c r="AC28" s="4">
        <v>-277.91666666673791</v>
      </c>
    </row>
    <row r="29" spans="2:35" x14ac:dyDescent="0.2">
      <c r="G29" s="4">
        <v>4</v>
      </c>
      <c r="H29" s="4">
        <v>5621.0416666667406</v>
      </c>
      <c r="I29" s="4">
        <v>-1082.0416666667406</v>
      </c>
      <c r="Q29" s="4">
        <v>4</v>
      </c>
      <c r="R29" s="4">
        <v>7681.5416666665178</v>
      </c>
      <c r="S29" s="4">
        <v>-1208.5416666665178</v>
      </c>
      <c r="AA29" s="4">
        <v>4</v>
      </c>
      <c r="AB29" s="4">
        <v>5377.9166666667379</v>
      </c>
      <c r="AC29" s="4">
        <v>-832.91666666673791</v>
      </c>
    </row>
    <row r="30" spans="2:35" x14ac:dyDescent="0.2">
      <c r="G30" s="4">
        <v>5</v>
      </c>
      <c r="H30" s="4">
        <v>6459.1666666667406</v>
      </c>
      <c r="I30" s="4">
        <v>-221.16666666674064</v>
      </c>
      <c r="Q30" s="4">
        <v>5</v>
      </c>
      <c r="R30" s="4">
        <v>6421.6666666665178</v>
      </c>
      <c r="S30" s="4">
        <v>-2473.6666666665178</v>
      </c>
      <c r="AA30" s="4">
        <v>5</v>
      </c>
      <c r="AB30" s="4">
        <v>6119.6666666667379</v>
      </c>
      <c r="AC30" s="4">
        <v>392.33333333326209</v>
      </c>
    </row>
    <row r="31" spans="2:35" x14ac:dyDescent="0.2">
      <c r="G31" s="4">
        <v>6</v>
      </c>
      <c r="H31" s="4">
        <v>6459.1666666667406</v>
      </c>
      <c r="I31" s="4">
        <v>2268.8333333332594</v>
      </c>
      <c r="Q31" s="4">
        <v>6</v>
      </c>
      <c r="R31" s="4">
        <v>6421.6666666665178</v>
      </c>
      <c r="S31" s="4">
        <v>1550.3333333334822</v>
      </c>
      <c r="AA31" s="4">
        <v>6</v>
      </c>
      <c r="AB31" s="4">
        <v>6119.6666666667379</v>
      </c>
      <c r="AC31" s="4">
        <v>-496.66666666673791</v>
      </c>
    </row>
    <row r="32" spans="2:35" x14ac:dyDescent="0.2">
      <c r="G32" s="4">
        <v>7</v>
      </c>
      <c r="H32" s="4">
        <v>6459.1666666667406</v>
      </c>
      <c r="I32" s="4">
        <v>-1870.1666666667406</v>
      </c>
      <c r="Q32" s="4">
        <v>7</v>
      </c>
      <c r="R32" s="4">
        <v>6421.6666666665178</v>
      </c>
      <c r="S32" s="4">
        <v>2802.3333333334822</v>
      </c>
      <c r="AA32" s="4">
        <v>7</v>
      </c>
      <c r="AB32" s="4">
        <v>6119.6666666667379</v>
      </c>
      <c r="AC32" s="4">
        <v>2519.3333333332621</v>
      </c>
    </row>
    <row r="33" spans="7:29" x14ac:dyDescent="0.2">
      <c r="G33" s="4">
        <v>8</v>
      </c>
      <c r="H33" s="4">
        <v>6459.1666666667406</v>
      </c>
      <c r="I33" s="4">
        <v>-361.16666666674064</v>
      </c>
      <c r="Q33" s="4">
        <v>8</v>
      </c>
      <c r="R33" s="4">
        <v>6421.6666666665178</v>
      </c>
      <c r="S33" s="4">
        <v>-4106.6666666665178</v>
      </c>
      <c r="AA33" s="4">
        <v>8</v>
      </c>
      <c r="AB33" s="4">
        <v>6119.6666666667379</v>
      </c>
      <c r="AC33" s="4">
        <v>-1119.6666666667379</v>
      </c>
    </row>
    <row r="34" spans="7:29" x14ac:dyDescent="0.2">
      <c r="G34" s="4">
        <v>9</v>
      </c>
      <c r="H34" s="4">
        <v>7297.2916666667415</v>
      </c>
      <c r="I34" s="4">
        <v>14.708333333258452</v>
      </c>
      <c r="Q34" s="4">
        <v>9</v>
      </c>
      <c r="R34" s="4">
        <v>5161.7916666665178</v>
      </c>
      <c r="S34" s="4">
        <v>3503.2083333334822</v>
      </c>
      <c r="AA34" s="4">
        <v>9</v>
      </c>
      <c r="AB34" s="4">
        <v>6861.4166666667379</v>
      </c>
      <c r="AC34" s="4">
        <v>-1820.4166666667379</v>
      </c>
    </row>
    <row r="35" spans="7:29" x14ac:dyDescent="0.2">
      <c r="G35" s="4">
        <v>10</v>
      </c>
      <c r="H35" s="4">
        <v>7297.2916666667415</v>
      </c>
      <c r="I35" s="4">
        <v>1063.7083333332585</v>
      </c>
      <c r="Q35" s="4">
        <v>10</v>
      </c>
      <c r="R35" s="4">
        <v>5161.7916666665178</v>
      </c>
      <c r="S35" s="4">
        <v>-532.79166666651781</v>
      </c>
      <c r="AA35" s="4">
        <v>10</v>
      </c>
      <c r="AB35" s="4">
        <v>6861.4166666667379</v>
      </c>
      <c r="AC35" s="4">
        <v>509.58333333326209</v>
      </c>
    </row>
    <row r="36" spans="7:29" x14ac:dyDescent="0.2">
      <c r="G36" s="4">
        <v>11</v>
      </c>
      <c r="H36" s="4">
        <v>7297.2916666667415</v>
      </c>
      <c r="I36" s="4">
        <v>-1954.2916666667415</v>
      </c>
      <c r="Q36" s="4">
        <v>11</v>
      </c>
      <c r="R36" s="4">
        <v>5161.7916666665178</v>
      </c>
      <c r="S36" s="4">
        <v>-35.791666666517813</v>
      </c>
      <c r="AA36" s="4">
        <v>11</v>
      </c>
      <c r="AB36" s="4">
        <v>6861.4166666667379</v>
      </c>
      <c r="AC36" s="4">
        <v>-84.41666666673791</v>
      </c>
    </row>
    <row r="37" spans="7:29" ht="17" thickBot="1" x14ac:dyDescent="0.25">
      <c r="G37" s="5">
        <v>12</v>
      </c>
      <c r="H37" s="5">
        <v>7297.2916666667415</v>
      </c>
      <c r="I37" s="5">
        <v>967.70833333325845</v>
      </c>
      <c r="Q37" s="5">
        <v>12</v>
      </c>
      <c r="R37" s="5">
        <v>5161.7916666665178</v>
      </c>
      <c r="S37" s="5">
        <v>-1820.7916666665178</v>
      </c>
      <c r="AA37" s="5">
        <v>12</v>
      </c>
      <c r="AB37" s="5">
        <v>6861.4166666667379</v>
      </c>
      <c r="AC37" s="5">
        <v>747.58333333326209</v>
      </c>
    </row>
    <row r="38" spans="7:29" x14ac:dyDescent="0.2">
      <c r="Q38" s="13"/>
      <c r="R38" s="13"/>
      <c r="S38" s="13"/>
      <c r="T38" s="13"/>
      <c r="U38" s="13"/>
      <c r="V38" s="13"/>
      <c r="W38" s="13"/>
      <c r="X38" s="13"/>
      <c r="Y38" s="13"/>
    </row>
  </sheetData>
  <mergeCells count="4">
    <mergeCell ref="K25:N25"/>
    <mergeCell ref="U25:X25"/>
    <mergeCell ref="AE25:AH25"/>
    <mergeCell ref="B16:E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3F23-6F29-834E-A34A-5A2F5A1C1002}">
  <dimension ref="A1:J16"/>
  <sheetViews>
    <sheetView workbookViewId="0">
      <selection activeCell="G1" sqref="G1:J1"/>
    </sheetView>
  </sheetViews>
  <sheetFormatPr baseColWidth="10" defaultRowHeight="16" x14ac:dyDescent="0.2"/>
  <cols>
    <col min="3" max="3" width="14.1640625" customWidth="1"/>
    <col min="4" max="4" width="14" customWidth="1"/>
    <col min="5" max="5" width="13.83203125" customWidth="1"/>
  </cols>
  <sheetData>
    <row r="1" spans="1:10" ht="1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8" t="s">
        <v>51</v>
      </c>
      <c r="H1" s="28"/>
      <c r="I1" s="28"/>
      <c r="J1" s="28"/>
    </row>
    <row r="2" spans="1:10" x14ac:dyDescent="0.2">
      <c r="A2" s="1">
        <v>2019</v>
      </c>
      <c r="B2" s="1" t="s">
        <v>5</v>
      </c>
      <c r="C2" s="8">
        <v>5674</v>
      </c>
      <c r="D2" s="8">
        <v>6721</v>
      </c>
      <c r="E2" s="8">
        <v>3947</v>
      </c>
      <c r="G2" s="7"/>
      <c r="H2" s="7" t="s">
        <v>9</v>
      </c>
      <c r="I2" s="7" t="s">
        <v>10</v>
      </c>
      <c r="J2" s="21" t="s">
        <v>11</v>
      </c>
    </row>
    <row r="3" spans="1:10" x14ac:dyDescent="0.2">
      <c r="A3" s="1">
        <v>2019</v>
      </c>
      <c r="B3" s="1" t="s">
        <v>6</v>
      </c>
      <c r="C3" s="8">
        <v>3598</v>
      </c>
      <c r="D3" s="8">
        <v>9374</v>
      </c>
      <c r="E3" s="8">
        <v>7272</v>
      </c>
      <c r="G3" s="4" t="s">
        <v>9</v>
      </c>
      <c r="H3" s="4">
        <f>VARP(Covariance!$C$2:$C$13)</f>
        <v>2956859.138888889</v>
      </c>
      <c r="I3" s="4"/>
      <c r="J3" s="4"/>
    </row>
    <row r="4" spans="1:10" x14ac:dyDescent="0.2">
      <c r="A4" s="1">
        <v>2019</v>
      </c>
      <c r="B4" s="1" t="s">
        <v>7</v>
      </c>
      <c r="C4" s="8">
        <v>8765</v>
      </c>
      <c r="D4" s="8">
        <v>9272</v>
      </c>
      <c r="E4" s="8">
        <v>5100</v>
      </c>
      <c r="G4" s="4" t="s">
        <v>10</v>
      </c>
      <c r="H4" s="23">
        <v>-626214.36111111112</v>
      </c>
      <c r="I4" s="4">
        <f>VARP(Covariance!$D$2:$D$13)</f>
        <v>5799059.055555556</v>
      </c>
      <c r="J4" s="4"/>
    </row>
    <row r="5" spans="1:10" ht="17" thickBot="1" x14ac:dyDescent="0.25">
      <c r="A5" s="1">
        <v>2019</v>
      </c>
      <c r="B5" s="1" t="s">
        <v>8</v>
      </c>
      <c r="C5" s="8">
        <v>4539</v>
      </c>
      <c r="D5" s="8">
        <v>6473</v>
      </c>
      <c r="E5" s="8">
        <v>4545</v>
      </c>
      <c r="G5" s="5" t="s">
        <v>11</v>
      </c>
      <c r="H5" s="24">
        <v>-251982.02777777772</v>
      </c>
      <c r="I5" s="24">
        <v>-35062.527777777788</v>
      </c>
      <c r="J5" s="5">
        <f>VARP(Covariance!$E$2:$E$13)</f>
        <v>1912375.2222222222</v>
      </c>
    </row>
    <row r="6" spans="1:10" x14ac:dyDescent="0.2">
      <c r="A6" s="1">
        <v>2020</v>
      </c>
      <c r="B6" s="1" t="s">
        <v>5</v>
      </c>
      <c r="C6" s="8">
        <v>6238</v>
      </c>
      <c r="D6" s="8">
        <v>3948</v>
      </c>
      <c r="E6" s="8">
        <v>6512</v>
      </c>
      <c r="G6" s="13"/>
      <c r="H6" s="13"/>
      <c r="I6" s="13"/>
      <c r="J6" s="13"/>
    </row>
    <row r="7" spans="1:10" x14ac:dyDescent="0.2">
      <c r="A7" s="1">
        <v>2020</v>
      </c>
      <c r="B7" s="1" t="s">
        <v>6</v>
      </c>
      <c r="C7" s="8">
        <v>8728</v>
      </c>
      <c r="D7" s="8">
        <v>7972</v>
      </c>
      <c r="E7" s="8">
        <v>5623</v>
      </c>
      <c r="G7" s="13"/>
      <c r="H7" s="13"/>
      <c r="I7" s="13"/>
      <c r="J7" s="13"/>
    </row>
    <row r="8" spans="1:10" x14ac:dyDescent="0.2">
      <c r="A8" s="1">
        <v>2020</v>
      </c>
      <c r="B8" s="1" t="s">
        <v>7</v>
      </c>
      <c r="C8" s="8">
        <v>4589</v>
      </c>
      <c r="D8" s="8">
        <v>9224</v>
      </c>
      <c r="E8" s="8">
        <v>8639</v>
      </c>
    </row>
    <row r="9" spans="1:10" x14ac:dyDescent="0.2">
      <c r="A9" s="1">
        <v>2020</v>
      </c>
      <c r="B9" s="1" t="s">
        <v>8</v>
      </c>
      <c r="C9" s="8">
        <v>6098</v>
      </c>
      <c r="D9" s="8">
        <v>2315</v>
      </c>
      <c r="E9" s="8">
        <v>5000</v>
      </c>
    </row>
    <row r="10" spans="1:10" x14ac:dyDescent="0.2">
      <c r="A10" s="1">
        <v>2021</v>
      </c>
      <c r="B10" s="1" t="s">
        <v>5</v>
      </c>
      <c r="C10" s="8">
        <v>7312</v>
      </c>
      <c r="D10" s="8">
        <v>8665</v>
      </c>
      <c r="E10" s="8">
        <v>5041</v>
      </c>
    </row>
    <row r="11" spans="1:10" x14ac:dyDescent="0.2">
      <c r="A11" s="1">
        <v>2021</v>
      </c>
      <c r="B11" s="1" t="s">
        <v>6</v>
      </c>
      <c r="C11" s="8">
        <v>8361</v>
      </c>
      <c r="D11" s="8">
        <v>4629</v>
      </c>
      <c r="E11" s="8">
        <v>7371</v>
      </c>
    </row>
    <row r="12" spans="1:10" x14ac:dyDescent="0.2">
      <c r="A12" s="1">
        <v>2021</v>
      </c>
      <c r="B12" s="1" t="s">
        <v>7</v>
      </c>
      <c r="C12" s="8">
        <v>5343</v>
      </c>
      <c r="D12" s="8">
        <v>5126</v>
      </c>
      <c r="E12" s="8">
        <v>6777</v>
      </c>
    </row>
    <row r="13" spans="1:10" x14ac:dyDescent="0.2">
      <c r="A13" s="1">
        <v>2021</v>
      </c>
      <c r="B13" s="1" t="s">
        <v>8</v>
      </c>
      <c r="C13" s="8">
        <v>8265</v>
      </c>
      <c r="D13" s="8">
        <v>3341</v>
      </c>
      <c r="E13" s="8">
        <v>7609</v>
      </c>
    </row>
    <row r="15" spans="1:10" x14ac:dyDescent="0.2">
      <c r="B15" s="22" t="s">
        <v>52</v>
      </c>
      <c r="C15" s="22"/>
      <c r="D15" s="22"/>
      <c r="E15" s="22"/>
    </row>
    <row r="16" spans="1:10" x14ac:dyDescent="0.2">
      <c r="B16" s="22"/>
      <c r="C16" s="22"/>
      <c r="D16" s="22"/>
      <c r="E16" s="22"/>
    </row>
  </sheetData>
  <mergeCells count="2">
    <mergeCell ref="G1:J1"/>
    <mergeCell ref="B15:E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89E7-2D45-FB4B-83CB-C17C61D8A814}">
  <dimension ref="A1:J18"/>
  <sheetViews>
    <sheetView workbookViewId="0">
      <selection activeCell="G1" sqref="G1:J1"/>
    </sheetView>
  </sheetViews>
  <sheetFormatPr baseColWidth="10" defaultRowHeight="16" x14ac:dyDescent="0.2"/>
  <cols>
    <col min="3" max="3" width="14.33203125" customWidth="1"/>
    <col min="4" max="4" width="13.83203125" customWidth="1"/>
    <col min="5" max="5" width="13.6640625" customWidth="1"/>
  </cols>
  <sheetData>
    <row r="1" spans="1:10" ht="1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7" t="s">
        <v>53</v>
      </c>
      <c r="H1" s="27"/>
      <c r="I1" s="27"/>
      <c r="J1" s="27"/>
    </row>
    <row r="2" spans="1:10" x14ac:dyDescent="0.2">
      <c r="A2" s="1">
        <v>2019</v>
      </c>
      <c r="B2" s="1" t="s">
        <v>5</v>
      </c>
      <c r="C2" s="8">
        <v>5674</v>
      </c>
      <c r="D2" s="8">
        <v>6721</v>
      </c>
      <c r="E2" s="8">
        <v>3947</v>
      </c>
      <c r="G2" s="25"/>
      <c r="H2" s="7" t="s">
        <v>9</v>
      </c>
      <c r="I2" s="7" t="s">
        <v>10</v>
      </c>
      <c r="J2" s="7" t="s">
        <v>11</v>
      </c>
    </row>
    <row r="3" spans="1:10" x14ac:dyDescent="0.2">
      <c r="A3" s="1">
        <v>2019</v>
      </c>
      <c r="B3" s="1" t="s">
        <v>6</v>
      </c>
      <c r="C3" s="8">
        <v>3598</v>
      </c>
      <c r="D3" s="8">
        <v>9374</v>
      </c>
      <c r="E3" s="8">
        <v>7272</v>
      </c>
      <c r="G3" s="6" t="s">
        <v>9</v>
      </c>
      <c r="H3" s="4">
        <v>1</v>
      </c>
      <c r="I3" s="4"/>
      <c r="J3" s="4"/>
    </row>
    <row r="4" spans="1:10" x14ac:dyDescent="0.2">
      <c r="A4" s="1">
        <v>2019</v>
      </c>
      <c r="B4" s="1" t="s">
        <v>7</v>
      </c>
      <c r="C4" s="8">
        <v>8765</v>
      </c>
      <c r="D4" s="8">
        <v>9272</v>
      </c>
      <c r="E4" s="8">
        <v>5100</v>
      </c>
      <c r="G4" s="15" t="s">
        <v>10</v>
      </c>
      <c r="H4" s="23">
        <v>-0.15122686166151589</v>
      </c>
      <c r="I4" s="4">
        <v>1</v>
      </c>
      <c r="J4" s="4"/>
    </row>
    <row r="5" spans="1:10" ht="17" thickBot="1" x14ac:dyDescent="0.25">
      <c r="A5" s="1">
        <v>2019</v>
      </c>
      <c r="B5" s="1" t="s">
        <v>8</v>
      </c>
      <c r="C5" s="8">
        <v>4539</v>
      </c>
      <c r="D5" s="8">
        <v>6473</v>
      </c>
      <c r="E5" s="8">
        <v>4545</v>
      </c>
      <c r="G5" s="26" t="s">
        <v>11</v>
      </c>
      <c r="H5" s="24">
        <v>-0.10596628148938629</v>
      </c>
      <c r="I5" s="24">
        <v>-1.0528776405318329E-2</v>
      </c>
      <c r="J5" s="5">
        <v>1</v>
      </c>
    </row>
    <row r="6" spans="1:10" x14ac:dyDescent="0.2">
      <c r="A6" s="1">
        <v>2020</v>
      </c>
      <c r="B6" s="1" t="s">
        <v>5</v>
      </c>
      <c r="C6" s="8">
        <v>6238</v>
      </c>
      <c r="D6" s="8">
        <v>3948</v>
      </c>
      <c r="E6" s="8">
        <v>6512</v>
      </c>
    </row>
    <row r="7" spans="1:10" x14ac:dyDescent="0.2">
      <c r="A7" s="1">
        <v>2020</v>
      </c>
      <c r="B7" s="1" t="s">
        <v>6</v>
      </c>
      <c r="C7" s="8">
        <v>8728</v>
      </c>
      <c r="D7" s="8">
        <v>7972</v>
      </c>
      <c r="E7" s="8">
        <v>5623</v>
      </c>
    </row>
    <row r="8" spans="1:10" x14ac:dyDescent="0.2">
      <c r="A8" s="1">
        <v>2020</v>
      </c>
      <c r="B8" s="1" t="s">
        <v>7</v>
      </c>
      <c r="C8" s="8">
        <v>4589</v>
      </c>
      <c r="D8" s="8">
        <v>9224</v>
      </c>
      <c r="E8" s="8">
        <v>8639</v>
      </c>
    </row>
    <row r="9" spans="1:10" x14ac:dyDescent="0.2">
      <c r="A9" s="1">
        <v>2020</v>
      </c>
      <c r="B9" s="1" t="s">
        <v>8</v>
      </c>
      <c r="C9" s="8">
        <v>6098</v>
      </c>
      <c r="D9" s="8">
        <v>2315</v>
      </c>
      <c r="E9" s="8">
        <v>5000</v>
      </c>
    </row>
    <row r="10" spans="1:10" x14ac:dyDescent="0.2">
      <c r="A10" s="1">
        <v>2021</v>
      </c>
      <c r="B10" s="1" t="s">
        <v>5</v>
      </c>
      <c r="C10" s="8">
        <v>7312</v>
      </c>
      <c r="D10" s="8">
        <v>8665</v>
      </c>
      <c r="E10" s="8">
        <v>5041</v>
      </c>
    </row>
    <row r="11" spans="1:10" x14ac:dyDescent="0.2">
      <c r="A11" s="1">
        <v>2021</v>
      </c>
      <c r="B11" s="1" t="s">
        <v>6</v>
      </c>
      <c r="C11" s="8">
        <v>8361</v>
      </c>
      <c r="D11" s="8">
        <v>4629</v>
      </c>
      <c r="E11" s="8">
        <v>7371</v>
      </c>
    </row>
    <row r="12" spans="1:10" x14ac:dyDescent="0.2">
      <c r="A12" s="1">
        <v>2021</v>
      </c>
      <c r="B12" s="1" t="s">
        <v>7</v>
      </c>
      <c r="C12" s="8">
        <v>5343</v>
      </c>
      <c r="D12" s="8">
        <v>5126</v>
      </c>
      <c r="E12" s="8">
        <v>6777</v>
      </c>
    </row>
    <row r="13" spans="1:10" x14ac:dyDescent="0.2">
      <c r="A13" s="1">
        <v>2021</v>
      </c>
      <c r="B13" s="1" t="s">
        <v>8</v>
      </c>
      <c r="C13" s="8">
        <v>8265</v>
      </c>
      <c r="D13" s="8">
        <v>3341</v>
      </c>
      <c r="E13" s="8">
        <v>7609</v>
      </c>
    </row>
    <row r="15" spans="1:10" ht="16" customHeight="1" x14ac:dyDescent="0.2">
      <c r="B15" s="22" t="s">
        <v>54</v>
      </c>
      <c r="C15" s="22"/>
      <c r="D15" s="22"/>
      <c r="E15" s="22"/>
    </row>
    <row r="16" spans="1:10" x14ac:dyDescent="0.2">
      <c r="B16" s="22"/>
      <c r="C16" s="22"/>
      <c r="D16" s="22"/>
      <c r="E16" s="22"/>
    </row>
    <row r="17" spans="2:5" x14ac:dyDescent="0.2">
      <c r="B17" s="22"/>
      <c r="C17" s="22"/>
      <c r="D17" s="22"/>
      <c r="E17" s="22"/>
    </row>
    <row r="18" spans="2:5" x14ac:dyDescent="0.2">
      <c r="B18" s="22"/>
      <c r="C18" s="22"/>
      <c r="D18" s="22"/>
      <c r="E18" s="22"/>
    </row>
  </sheetData>
  <mergeCells count="2">
    <mergeCell ref="G1:J1"/>
    <mergeCell ref="B15:E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9FD7-02D0-DC42-BB76-577297575F95}">
  <dimension ref="A1:E15"/>
  <sheetViews>
    <sheetView workbookViewId="0">
      <selection activeCell="H9" sqref="H9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2019</v>
      </c>
      <c r="B2" s="1" t="s">
        <v>5</v>
      </c>
      <c r="C2" s="1">
        <v>5674</v>
      </c>
      <c r="D2" s="1">
        <v>6721</v>
      </c>
      <c r="E2" s="1">
        <v>3947</v>
      </c>
    </row>
    <row r="3" spans="1:5" x14ac:dyDescent="0.2">
      <c r="A3" s="1">
        <v>2019</v>
      </c>
      <c r="B3" s="1" t="s">
        <v>6</v>
      </c>
      <c r="C3" s="1">
        <v>3598</v>
      </c>
      <c r="D3" s="1">
        <v>9374</v>
      </c>
      <c r="E3" s="1">
        <v>7272</v>
      </c>
    </row>
    <row r="4" spans="1:5" x14ac:dyDescent="0.2">
      <c r="A4" s="1">
        <v>2019</v>
      </c>
      <c r="B4" s="1" t="s">
        <v>7</v>
      </c>
      <c r="C4" s="1">
        <v>8765</v>
      </c>
      <c r="D4" s="1">
        <v>9272</v>
      </c>
      <c r="E4" s="1">
        <v>5100</v>
      </c>
    </row>
    <row r="5" spans="1:5" x14ac:dyDescent="0.2">
      <c r="A5" s="1">
        <v>2019</v>
      </c>
      <c r="B5" s="1" t="s">
        <v>8</v>
      </c>
      <c r="C5" s="1">
        <v>4539</v>
      </c>
      <c r="D5" s="1">
        <v>6473</v>
      </c>
      <c r="E5" s="1">
        <v>4545</v>
      </c>
    </row>
    <row r="6" spans="1:5" x14ac:dyDescent="0.2">
      <c r="A6" s="1">
        <v>2020</v>
      </c>
      <c r="B6" s="1" t="s">
        <v>5</v>
      </c>
      <c r="C6" s="1">
        <v>6238</v>
      </c>
      <c r="D6" s="1">
        <v>3948</v>
      </c>
      <c r="E6" s="1">
        <v>6512</v>
      </c>
    </row>
    <row r="7" spans="1:5" x14ac:dyDescent="0.2">
      <c r="A7" s="1">
        <v>2020</v>
      </c>
      <c r="B7" s="1" t="s">
        <v>6</v>
      </c>
      <c r="C7" s="1">
        <v>8728</v>
      </c>
      <c r="D7" s="1">
        <v>7972</v>
      </c>
      <c r="E7" s="1">
        <v>5623</v>
      </c>
    </row>
    <row r="8" spans="1:5" x14ac:dyDescent="0.2">
      <c r="A8" s="1">
        <v>2020</v>
      </c>
      <c r="B8" s="1" t="s">
        <v>7</v>
      </c>
      <c r="C8" s="1">
        <v>4589</v>
      </c>
      <c r="D8" s="1">
        <v>9224</v>
      </c>
      <c r="E8" s="1">
        <v>8639</v>
      </c>
    </row>
    <row r="9" spans="1:5" x14ac:dyDescent="0.2">
      <c r="A9" s="1">
        <v>2020</v>
      </c>
      <c r="B9" s="1" t="s">
        <v>8</v>
      </c>
      <c r="C9" s="1">
        <v>6098</v>
      </c>
      <c r="D9" s="1">
        <v>2315</v>
      </c>
      <c r="E9" s="1">
        <v>5000</v>
      </c>
    </row>
    <row r="10" spans="1:5" x14ac:dyDescent="0.2">
      <c r="A10" s="1">
        <v>2021</v>
      </c>
      <c r="B10" s="1" t="s">
        <v>5</v>
      </c>
      <c r="C10" s="1">
        <v>7312</v>
      </c>
      <c r="D10" s="1">
        <v>8665</v>
      </c>
      <c r="E10" s="1">
        <v>5041</v>
      </c>
    </row>
    <row r="11" spans="1:5" x14ac:dyDescent="0.2">
      <c r="A11" s="1">
        <v>2021</v>
      </c>
      <c r="B11" s="1" t="s">
        <v>6</v>
      </c>
      <c r="C11" s="1">
        <v>8361</v>
      </c>
      <c r="D11" s="1">
        <v>4629</v>
      </c>
      <c r="E11" s="1">
        <v>7371</v>
      </c>
    </row>
    <row r="12" spans="1:5" x14ac:dyDescent="0.2">
      <c r="A12" s="1">
        <v>2021</v>
      </c>
      <c r="B12" s="1" t="s">
        <v>7</v>
      </c>
      <c r="C12" s="1">
        <v>5343</v>
      </c>
      <c r="D12" s="1">
        <v>5126</v>
      </c>
      <c r="E12" s="1">
        <v>6777</v>
      </c>
    </row>
    <row r="13" spans="1:5" x14ac:dyDescent="0.2">
      <c r="A13" s="1">
        <v>2021</v>
      </c>
      <c r="B13" s="1" t="s">
        <v>8</v>
      </c>
      <c r="C13" s="1">
        <v>8265</v>
      </c>
      <c r="D13" s="1">
        <v>3341</v>
      </c>
      <c r="E13" s="1">
        <v>7609</v>
      </c>
    </row>
    <row r="14" spans="1:5" x14ac:dyDescent="0.2">
      <c r="A14" s="1"/>
      <c r="B14" s="1"/>
      <c r="C14" s="1"/>
      <c r="D14" s="1"/>
      <c r="E14" s="1"/>
    </row>
    <row r="15" spans="1:5" x14ac:dyDescent="0.2">
      <c r="A15" s="1"/>
      <c r="B15" s="1"/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sales_dataset</vt:lpstr>
      <vt:lpstr>Moving Average</vt:lpstr>
      <vt:lpstr>ANOVA Testing</vt:lpstr>
      <vt:lpstr>Covariance</vt:lpstr>
      <vt:lpstr>Correlation</vt:lpstr>
      <vt:lpstr>Data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Duke</dc:creator>
  <cp:lastModifiedBy>Kendall Duke</cp:lastModifiedBy>
  <dcterms:created xsi:type="dcterms:W3CDTF">2026-09-02T03:09:40Z</dcterms:created>
  <dcterms:modified xsi:type="dcterms:W3CDTF">2026-09-02T21:00:43Z</dcterms:modified>
</cp:coreProperties>
</file>